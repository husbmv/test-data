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y_cx\My-Ui\"/>
    </mc:Choice>
  </mc:AlternateContent>
  <xr:revisionPtr revIDLastSave="0" documentId="13_ncr:1_{6563FA07-C725-4151-B5BD-2CD8CF51E47B}" xr6:coauthVersionLast="47" xr6:coauthVersionMax="47" xr10:uidLastSave="{00000000-0000-0000-0000-000000000000}"/>
  <bookViews>
    <workbookView xWindow="3120" yWindow="1950" windowWidth="29565" windowHeight="17520" activeTab="1" xr2:uid="{00000000-000D-0000-FFFF-FFFF00000000}"/>
  </bookViews>
  <sheets>
    <sheet name="批量打印" sheetId="1" r:id="rId1"/>
    <sheet name="数据" sheetId="4" r:id="rId2"/>
  </sheets>
  <definedNames>
    <definedName name="_xlnm._FilterDatabase" localSheetId="0" hidden="1">批量打印!$A$1:$J$193</definedName>
    <definedName name="_xlnm._FilterDatabase" localSheetId="1" hidden="1">数据!$A$1:$S$129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E3" i="1"/>
  <c r="F3" i="1"/>
  <c r="G3" i="1"/>
  <c r="A4" i="1"/>
  <c r="B4" i="1"/>
  <c r="C4" i="1"/>
  <c r="E4" i="1"/>
  <c r="F4" i="1"/>
  <c r="G4" i="1"/>
  <c r="A5" i="1"/>
  <c r="B5" i="1"/>
  <c r="C5" i="1"/>
  <c r="E5" i="1"/>
  <c r="F5" i="1"/>
  <c r="G5" i="1"/>
  <c r="A6" i="1"/>
  <c r="B6" i="1"/>
  <c r="C6" i="1"/>
  <c r="E6" i="1"/>
  <c r="F6" i="1"/>
  <c r="G6" i="1"/>
  <c r="A7" i="1"/>
  <c r="B7" i="1"/>
  <c r="C7" i="1"/>
  <c r="E7" i="1"/>
  <c r="F7" i="1"/>
  <c r="G7" i="1"/>
  <c r="A8" i="1"/>
  <c r="B8" i="1"/>
  <c r="C8" i="1"/>
  <c r="E8" i="1"/>
  <c r="F8" i="1"/>
  <c r="G8" i="1"/>
  <c r="A9" i="1"/>
  <c r="B9" i="1"/>
  <c r="C9" i="1"/>
  <c r="E9" i="1"/>
  <c r="F9" i="1"/>
  <c r="G9" i="1"/>
  <c r="A10" i="1"/>
  <c r="B10" i="1"/>
  <c r="C10" i="1"/>
  <c r="E10" i="1"/>
  <c r="F10" i="1"/>
  <c r="G10" i="1"/>
  <c r="A11" i="1"/>
  <c r="B11" i="1"/>
  <c r="C11" i="1"/>
  <c r="E11" i="1"/>
  <c r="F11" i="1"/>
  <c r="G11" i="1"/>
  <c r="A12" i="1"/>
  <c r="B12" i="1"/>
  <c r="C12" i="1"/>
  <c r="E12" i="1"/>
  <c r="F12" i="1"/>
  <c r="G12" i="1"/>
  <c r="A13" i="1"/>
  <c r="B13" i="1"/>
  <c r="C13" i="1"/>
  <c r="E13" i="1"/>
  <c r="F13" i="1"/>
  <c r="G13" i="1"/>
  <c r="A14" i="1"/>
  <c r="B14" i="1"/>
  <c r="C14" i="1"/>
  <c r="E14" i="1"/>
  <c r="F14" i="1"/>
  <c r="G14" i="1"/>
  <c r="A15" i="1"/>
  <c r="B15" i="1"/>
  <c r="C15" i="1"/>
  <c r="E15" i="1"/>
  <c r="F15" i="1"/>
  <c r="G15" i="1"/>
  <c r="A16" i="1"/>
  <c r="B16" i="1"/>
  <c r="C16" i="1"/>
  <c r="E16" i="1"/>
  <c r="F16" i="1"/>
  <c r="G16" i="1"/>
  <c r="A17" i="1"/>
  <c r="B17" i="1"/>
  <c r="C17" i="1"/>
  <c r="E17" i="1"/>
  <c r="F17" i="1"/>
  <c r="G17" i="1"/>
  <c r="A18" i="1"/>
  <c r="B18" i="1"/>
  <c r="C18" i="1"/>
  <c r="E18" i="1"/>
  <c r="F18" i="1"/>
  <c r="G18" i="1"/>
  <c r="A19" i="1"/>
  <c r="B19" i="1"/>
  <c r="C19" i="1"/>
  <c r="E19" i="1"/>
  <c r="F19" i="1"/>
  <c r="G19" i="1"/>
  <c r="A20" i="1"/>
  <c r="B20" i="1"/>
  <c r="C20" i="1"/>
  <c r="E20" i="1"/>
  <c r="F20" i="1"/>
  <c r="G20" i="1"/>
  <c r="A21" i="1"/>
  <c r="B21" i="1"/>
  <c r="C21" i="1"/>
  <c r="E21" i="1"/>
  <c r="F21" i="1"/>
  <c r="G21" i="1"/>
  <c r="A22" i="1"/>
  <c r="B22" i="1"/>
  <c r="C22" i="1"/>
  <c r="E22" i="1"/>
  <c r="F22" i="1"/>
  <c r="G22" i="1"/>
  <c r="A23" i="1"/>
  <c r="B23" i="1"/>
  <c r="C23" i="1"/>
  <c r="E23" i="1"/>
  <c r="F23" i="1"/>
  <c r="G23" i="1"/>
  <c r="A24" i="1"/>
  <c r="B24" i="1"/>
  <c r="C24" i="1"/>
  <c r="E24" i="1"/>
  <c r="F24" i="1"/>
  <c r="G24" i="1"/>
  <c r="A25" i="1"/>
  <c r="B25" i="1"/>
  <c r="C25" i="1"/>
  <c r="E25" i="1"/>
  <c r="F25" i="1"/>
  <c r="G25" i="1"/>
  <c r="A26" i="1"/>
  <c r="B26" i="1"/>
  <c r="C26" i="1"/>
  <c r="E26" i="1"/>
  <c r="F26" i="1"/>
  <c r="G26" i="1"/>
  <c r="A27" i="1"/>
  <c r="B27" i="1"/>
  <c r="C27" i="1"/>
  <c r="E27" i="1"/>
  <c r="F27" i="1"/>
  <c r="G27" i="1"/>
  <c r="A28" i="1"/>
  <c r="B28" i="1"/>
  <c r="C28" i="1"/>
  <c r="E28" i="1"/>
  <c r="F28" i="1"/>
  <c r="G28" i="1"/>
  <c r="A29" i="1"/>
  <c r="B29" i="1"/>
  <c r="C29" i="1"/>
  <c r="E29" i="1"/>
  <c r="F29" i="1"/>
  <c r="G29" i="1"/>
  <c r="A30" i="1"/>
  <c r="B30" i="1"/>
  <c r="C30" i="1"/>
  <c r="E30" i="1"/>
  <c r="F30" i="1"/>
  <c r="G30" i="1"/>
  <c r="A31" i="1"/>
  <c r="B31" i="1"/>
  <c r="C31" i="1"/>
  <c r="E31" i="1"/>
  <c r="F31" i="1"/>
  <c r="G31" i="1"/>
  <c r="A32" i="1"/>
  <c r="B32" i="1"/>
  <c r="C32" i="1"/>
  <c r="E32" i="1"/>
  <c r="F32" i="1"/>
  <c r="G32" i="1"/>
  <c r="A33" i="1"/>
  <c r="B33" i="1"/>
  <c r="C33" i="1"/>
  <c r="E33" i="1"/>
  <c r="F33" i="1"/>
  <c r="G33" i="1"/>
  <c r="A34" i="1"/>
  <c r="B34" i="1"/>
  <c r="C34" i="1"/>
  <c r="E34" i="1"/>
  <c r="F34" i="1"/>
  <c r="G34" i="1"/>
  <c r="A35" i="1"/>
  <c r="B35" i="1"/>
  <c r="C35" i="1"/>
  <c r="E35" i="1"/>
  <c r="F35" i="1"/>
  <c r="G35" i="1"/>
  <c r="A36" i="1"/>
  <c r="B36" i="1"/>
  <c r="C36" i="1"/>
  <c r="E36" i="1"/>
  <c r="F36" i="1"/>
  <c r="G36" i="1"/>
  <c r="A37" i="1"/>
  <c r="B37" i="1"/>
  <c r="C37" i="1"/>
  <c r="E37" i="1"/>
  <c r="F37" i="1"/>
  <c r="G37" i="1"/>
  <c r="A38" i="1"/>
  <c r="B38" i="1"/>
  <c r="C38" i="1"/>
  <c r="E38" i="1"/>
  <c r="F38" i="1"/>
  <c r="G38" i="1"/>
  <c r="A39" i="1"/>
  <c r="B39" i="1"/>
  <c r="C39" i="1"/>
  <c r="E39" i="1"/>
  <c r="F39" i="1"/>
  <c r="G39" i="1"/>
  <c r="A40" i="1"/>
  <c r="B40" i="1"/>
  <c r="C40" i="1"/>
  <c r="E40" i="1"/>
  <c r="F40" i="1"/>
  <c r="G40" i="1"/>
  <c r="A41" i="1"/>
  <c r="B41" i="1"/>
  <c r="C41" i="1"/>
  <c r="E41" i="1"/>
  <c r="F41" i="1"/>
  <c r="G41" i="1"/>
  <c r="A42" i="1"/>
  <c r="B42" i="1"/>
  <c r="C42" i="1"/>
  <c r="E42" i="1"/>
  <c r="F42" i="1"/>
  <c r="G42" i="1"/>
  <c r="A43" i="1"/>
  <c r="B43" i="1"/>
  <c r="C43" i="1"/>
  <c r="E43" i="1"/>
  <c r="F43" i="1"/>
  <c r="G43" i="1"/>
  <c r="A44" i="1"/>
  <c r="B44" i="1"/>
  <c r="C44" i="1"/>
  <c r="E44" i="1"/>
  <c r="F44" i="1"/>
  <c r="G44" i="1"/>
  <c r="A45" i="1"/>
  <c r="B45" i="1"/>
  <c r="C45" i="1"/>
  <c r="E45" i="1"/>
  <c r="F45" i="1"/>
  <c r="G45" i="1"/>
  <c r="A46" i="1"/>
  <c r="B46" i="1"/>
  <c r="C46" i="1"/>
  <c r="E46" i="1"/>
  <c r="F46" i="1"/>
  <c r="G46" i="1"/>
  <c r="A47" i="1"/>
  <c r="B47" i="1"/>
  <c r="C47" i="1"/>
  <c r="E47" i="1"/>
  <c r="F47" i="1"/>
  <c r="G47" i="1"/>
  <c r="A48" i="1"/>
  <c r="B48" i="1"/>
  <c r="C48" i="1"/>
  <c r="E48" i="1"/>
  <c r="F48" i="1"/>
  <c r="G48" i="1"/>
  <c r="A49" i="1"/>
  <c r="B49" i="1"/>
  <c r="C49" i="1"/>
  <c r="E49" i="1"/>
  <c r="F49" i="1"/>
  <c r="G49" i="1"/>
  <c r="A50" i="1"/>
  <c r="B50" i="1"/>
  <c r="C50" i="1"/>
  <c r="D50" i="1"/>
  <c r="E50" i="1"/>
  <c r="F50" i="1"/>
  <c r="G50" i="1"/>
  <c r="A51" i="1"/>
  <c r="B51" i="1"/>
  <c r="C51" i="1"/>
  <c r="D51" i="1"/>
  <c r="E51" i="1"/>
  <c r="F51" i="1"/>
  <c r="G51" i="1"/>
  <c r="A52" i="1"/>
  <c r="B52" i="1"/>
  <c r="C52" i="1"/>
  <c r="D52" i="1"/>
  <c r="E52" i="1"/>
  <c r="F52" i="1"/>
  <c r="G52" i="1"/>
  <c r="A53" i="1"/>
  <c r="B53" i="1"/>
  <c r="C53" i="1"/>
  <c r="D53" i="1"/>
  <c r="E53" i="1"/>
  <c r="F53" i="1"/>
  <c r="G53" i="1"/>
  <c r="A54" i="1"/>
  <c r="B54" i="1"/>
  <c r="C54" i="1"/>
  <c r="D54" i="1"/>
  <c r="E54" i="1"/>
  <c r="F54" i="1"/>
  <c r="G54" i="1"/>
  <c r="A55" i="1"/>
  <c r="B55" i="1"/>
  <c r="C55" i="1"/>
  <c r="D55" i="1"/>
  <c r="E55" i="1"/>
  <c r="F55" i="1"/>
  <c r="G55" i="1"/>
  <c r="A56" i="1"/>
  <c r="B56" i="1"/>
  <c r="C56" i="1"/>
  <c r="D56" i="1"/>
  <c r="E56" i="1"/>
  <c r="F56" i="1"/>
  <c r="G56" i="1"/>
  <c r="A57" i="1"/>
  <c r="B57" i="1"/>
  <c r="C57" i="1"/>
  <c r="D57" i="1"/>
  <c r="E57" i="1"/>
  <c r="F57" i="1"/>
  <c r="G57" i="1"/>
  <c r="A58" i="1"/>
  <c r="B58" i="1"/>
  <c r="C58" i="1"/>
  <c r="D58" i="1"/>
  <c r="E58" i="1"/>
  <c r="F58" i="1"/>
  <c r="G58" i="1"/>
  <c r="A59" i="1"/>
  <c r="B59" i="1"/>
  <c r="C59" i="1"/>
  <c r="D59" i="1"/>
  <c r="E59" i="1"/>
  <c r="F59" i="1"/>
  <c r="G59" i="1"/>
  <c r="A60" i="1"/>
  <c r="B60" i="1"/>
  <c r="C60" i="1"/>
  <c r="D60" i="1"/>
  <c r="E60" i="1"/>
  <c r="F60" i="1"/>
  <c r="G60" i="1"/>
  <c r="A61" i="1"/>
  <c r="B61" i="1"/>
  <c r="C61" i="1"/>
  <c r="D61" i="1"/>
  <c r="E61" i="1"/>
  <c r="F61" i="1"/>
  <c r="G61" i="1"/>
  <c r="A62" i="1"/>
  <c r="B62" i="1"/>
  <c r="C62" i="1"/>
  <c r="D62" i="1"/>
  <c r="E62" i="1"/>
  <c r="F62" i="1"/>
  <c r="G62" i="1"/>
  <c r="A63" i="1"/>
  <c r="B63" i="1"/>
  <c r="C63" i="1"/>
  <c r="D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D65" i="1"/>
  <c r="E65" i="1"/>
  <c r="F65" i="1"/>
  <c r="G65" i="1"/>
  <c r="A66" i="1"/>
  <c r="B66" i="1"/>
  <c r="C66" i="1"/>
  <c r="D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D68" i="1"/>
  <c r="E68" i="1"/>
  <c r="F68" i="1"/>
  <c r="G68" i="1"/>
  <c r="A69" i="1"/>
  <c r="B69" i="1"/>
  <c r="C69" i="1"/>
  <c r="D69" i="1"/>
  <c r="E69" i="1"/>
  <c r="F69" i="1"/>
  <c r="G69" i="1"/>
  <c r="A70" i="1"/>
  <c r="B70" i="1"/>
  <c r="C70" i="1"/>
  <c r="D70" i="1"/>
  <c r="E70" i="1"/>
  <c r="F70" i="1"/>
  <c r="G70" i="1"/>
  <c r="A71" i="1"/>
  <c r="B71" i="1"/>
  <c r="C71" i="1"/>
  <c r="D71" i="1"/>
  <c r="E71" i="1"/>
  <c r="F71" i="1"/>
  <c r="G71" i="1"/>
  <c r="A72" i="1"/>
  <c r="B72" i="1"/>
  <c r="C72" i="1"/>
  <c r="D72" i="1"/>
  <c r="E72" i="1"/>
  <c r="F72" i="1"/>
  <c r="G72" i="1"/>
  <c r="A73" i="1"/>
  <c r="B73" i="1"/>
  <c r="C73" i="1"/>
  <c r="D73" i="1"/>
  <c r="E73" i="1"/>
  <c r="F73" i="1"/>
  <c r="G73" i="1"/>
  <c r="A74" i="1"/>
  <c r="B74" i="1"/>
  <c r="C74" i="1"/>
  <c r="D74" i="1"/>
  <c r="E74" i="1"/>
  <c r="F74" i="1"/>
  <c r="G74" i="1"/>
  <c r="A75" i="1"/>
  <c r="B75" i="1"/>
  <c r="C75" i="1"/>
  <c r="D75" i="1"/>
  <c r="E75" i="1"/>
  <c r="F75" i="1"/>
  <c r="G75" i="1"/>
  <c r="A76" i="1"/>
  <c r="B76" i="1"/>
  <c r="C76" i="1"/>
  <c r="D76" i="1"/>
  <c r="E76" i="1"/>
  <c r="F76" i="1"/>
  <c r="G76" i="1"/>
  <c r="A77" i="1"/>
  <c r="B77" i="1"/>
  <c r="C77" i="1"/>
  <c r="D77" i="1"/>
  <c r="E77" i="1"/>
  <c r="F77" i="1"/>
  <c r="G77" i="1"/>
  <c r="A78" i="1"/>
  <c r="B78" i="1"/>
  <c r="C78" i="1"/>
  <c r="D78" i="1"/>
  <c r="E78" i="1"/>
  <c r="F78" i="1"/>
  <c r="G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D85" i="1"/>
  <c r="E85" i="1"/>
  <c r="F85" i="1"/>
  <c r="G85" i="1"/>
  <c r="A86" i="1"/>
  <c r="B86" i="1"/>
  <c r="C86" i="1"/>
  <c r="D86" i="1"/>
  <c r="E86" i="1"/>
  <c r="F86" i="1"/>
  <c r="G86" i="1"/>
  <c r="A87" i="1"/>
  <c r="B87" i="1"/>
  <c r="C87" i="1"/>
  <c r="D87" i="1"/>
  <c r="E87" i="1"/>
  <c r="F87" i="1"/>
  <c r="G87" i="1"/>
  <c r="A88" i="1"/>
  <c r="B88" i="1"/>
  <c r="C88" i="1"/>
  <c r="D88" i="1"/>
  <c r="E88" i="1"/>
  <c r="F88" i="1"/>
  <c r="G88" i="1"/>
  <c r="A89" i="1"/>
  <c r="B89" i="1"/>
  <c r="C89" i="1"/>
  <c r="D89" i="1"/>
  <c r="E89" i="1"/>
  <c r="F89" i="1"/>
  <c r="G89" i="1"/>
  <c r="A90" i="1"/>
  <c r="B90" i="1"/>
  <c r="C90" i="1"/>
  <c r="D90" i="1"/>
  <c r="E90" i="1"/>
  <c r="F90" i="1"/>
  <c r="G90" i="1"/>
  <c r="A91" i="1"/>
  <c r="B91" i="1"/>
  <c r="C91" i="1"/>
  <c r="D91" i="1"/>
  <c r="E91" i="1"/>
  <c r="F91" i="1"/>
  <c r="G91" i="1"/>
  <c r="A92" i="1"/>
  <c r="B92" i="1"/>
  <c r="C92" i="1"/>
  <c r="D92" i="1"/>
  <c r="E92" i="1"/>
  <c r="F92" i="1"/>
  <c r="G92" i="1"/>
  <c r="A93" i="1"/>
  <c r="B93" i="1"/>
  <c r="C93" i="1"/>
  <c r="D93" i="1"/>
  <c r="E93" i="1"/>
  <c r="F93" i="1"/>
  <c r="G93" i="1"/>
  <c r="A94" i="1"/>
  <c r="B94" i="1"/>
  <c r="C94" i="1"/>
  <c r="D94" i="1"/>
  <c r="E94" i="1"/>
  <c r="F94" i="1"/>
  <c r="G94" i="1"/>
  <c r="A95" i="1"/>
  <c r="B95" i="1"/>
  <c r="C95" i="1"/>
  <c r="D95" i="1"/>
  <c r="E95" i="1"/>
  <c r="F95" i="1"/>
  <c r="G95" i="1"/>
  <c r="A96" i="1"/>
  <c r="B96" i="1"/>
  <c r="C96" i="1"/>
  <c r="D96" i="1"/>
  <c r="E96" i="1"/>
  <c r="F96" i="1"/>
  <c r="G96" i="1"/>
  <c r="A97" i="1"/>
  <c r="B97" i="1"/>
  <c r="C97" i="1"/>
  <c r="D97" i="1"/>
  <c r="E97" i="1"/>
  <c r="F97" i="1"/>
  <c r="G97" i="1"/>
  <c r="A98" i="1"/>
  <c r="B98" i="1"/>
  <c r="C98" i="1"/>
  <c r="D98" i="1"/>
  <c r="E98" i="1"/>
  <c r="F98" i="1"/>
  <c r="G98" i="1"/>
  <c r="A99" i="1"/>
  <c r="B99" i="1"/>
  <c r="C99" i="1"/>
  <c r="D99" i="1"/>
  <c r="E99" i="1"/>
  <c r="F99" i="1"/>
  <c r="G99" i="1"/>
  <c r="A100" i="1"/>
  <c r="B100" i="1"/>
  <c r="C100" i="1"/>
  <c r="D100" i="1"/>
  <c r="E100" i="1"/>
  <c r="F100" i="1"/>
  <c r="G100" i="1"/>
  <c r="A101" i="1"/>
  <c r="B101" i="1"/>
  <c r="C101" i="1"/>
  <c r="D101" i="1"/>
  <c r="E101" i="1"/>
  <c r="F101" i="1"/>
  <c r="G101" i="1"/>
  <c r="A102" i="1"/>
  <c r="B102" i="1"/>
  <c r="C102" i="1"/>
  <c r="D102" i="1"/>
  <c r="E102" i="1"/>
  <c r="F102" i="1"/>
  <c r="G102" i="1"/>
  <c r="A103" i="1"/>
  <c r="B103" i="1"/>
  <c r="C103" i="1"/>
  <c r="D103" i="1"/>
  <c r="E103" i="1"/>
  <c r="F103" i="1"/>
  <c r="G103" i="1"/>
  <c r="A104" i="1"/>
  <c r="B104" i="1"/>
  <c r="C104" i="1"/>
  <c r="D104" i="1"/>
  <c r="E104" i="1"/>
  <c r="F104" i="1"/>
  <c r="G104" i="1"/>
  <c r="G3" i="4"/>
  <c r="H3" i="4"/>
  <c r="J3" i="4" s="1"/>
  <c r="L3" i="4"/>
  <c r="M3" i="4"/>
  <c r="G4" i="4"/>
  <c r="H4" i="4"/>
  <c r="I4" i="4" s="1"/>
  <c r="L4" i="4"/>
  <c r="M4" i="4"/>
  <c r="G5" i="4"/>
  <c r="H5" i="4"/>
  <c r="K5" i="4" s="1"/>
  <c r="L5" i="4"/>
  <c r="M5" i="4"/>
  <c r="G6" i="4"/>
  <c r="H6" i="4"/>
  <c r="J6" i="4" s="1"/>
  <c r="L6" i="4"/>
  <c r="M6" i="4"/>
  <c r="G7" i="4"/>
  <c r="H7" i="4"/>
  <c r="I7" i="4" s="1"/>
  <c r="L7" i="4"/>
  <c r="M7" i="4"/>
  <c r="G8" i="4"/>
  <c r="H8" i="4"/>
  <c r="K8" i="4" s="1"/>
  <c r="L8" i="4"/>
  <c r="M8" i="4"/>
  <c r="G9" i="4"/>
  <c r="H9" i="4"/>
  <c r="J9" i="4" s="1"/>
  <c r="L9" i="4"/>
  <c r="M9" i="4"/>
  <c r="G10" i="4"/>
  <c r="H10" i="4"/>
  <c r="I10" i="4" s="1"/>
  <c r="L10" i="4"/>
  <c r="M10" i="4"/>
  <c r="G11" i="4"/>
  <c r="H11" i="4"/>
  <c r="K11" i="4" s="1"/>
  <c r="L11" i="4"/>
  <c r="M11" i="4"/>
  <c r="G12" i="4"/>
  <c r="H12" i="4"/>
  <c r="J12" i="4" s="1"/>
  <c r="L12" i="4"/>
  <c r="M12" i="4"/>
  <c r="G13" i="4"/>
  <c r="H13" i="4"/>
  <c r="I13" i="4" s="1"/>
  <c r="L13" i="4"/>
  <c r="M13" i="4"/>
  <c r="G14" i="4"/>
  <c r="H14" i="4"/>
  <c r="K14" i="4" s="1"/>
  <c r="L14" i="4"/>
  <c r="M14" i="4"/>
  <c r="G15" i="4"/>
  <c r="H15" i="4"/>
  <c r="J15" i="4" s="1"/>
  <c r="L15" i="4"/>
  <c r="M15" i="4"/>
  <c r="G16" i="4"/>
  <c r="H16" i="4"/>
  <c r="I16" i="4" s="1"/>
  <c r="L16" i="4"/>
  <c r="M16" i="4"/>
  <c r="G17" i="4"/>
  <c r="H17" i="4"/>
  <c r="K17" i="4" s="1"/>
  <c r="L17" i="4"/>
  <c r="M17" i="4"/>
  <c r="G18" i="4"/>
  <c r="H18" i="4"/>
  <c r="J18" i="4" s="1"/>
  <c r="L18" i="4"/>
  <c r="M18" i="4"/>
  <c r="G19" i="4"/>
  <c r="H19" i="4"/>
  <c r="I19" i="4" s="1"/>
  <c r="L19" i="4"/>
  <c r="M19" i="4"/>
  <c r="G20" i="4"/>
  <c r="H20" i="4"/>
  <c r="I20" i="4" s="1"/>
  <c r="L20" i="4"/>
  <c r="M20" i="4"/>
  <c r="G21" i="4"/>
  <c r="H21" i="4"/>
  <c r="J21" i="4" s="1"/>
  <c r="L21" i="4"/>
  <c r="M21" i="4"/>
  <c r="G22" i="4"/>
  <c r="H22" i="4"/>
  <c r="I22" i="4" s="1"/>
  <c r="L22" i="4"/>
  <c r="M22" i="4"/>
  <c r="G23" i="4"/>
  <c r="H23" i="4"/>
  <c r="K23" i="4" s="1"/>
  <c r="L23" i="4"/>
  <c r="M23" i="4"/>
  <c r="G24" i="4"/>
  <c r="H24" i="4"/>
  <c r="J24" i="4" s="1"/>
  <c r="L24" i="4"/>
  <c r="M24" i="4"/>
  <c r="G25" i="4"/>
  <c r="H25" i="4"/>
  <c r="I25" i="4" s="1"/>
  <c r="L25" i="4"/>
  <c r="M25" i="4"/>
  <c r="G26" i="4"/>
  <c r="H26" i="4"/>
  <c r="I26" i="4" s="1"/>
  <c r="L26" i="4"/>
  <c r="M26" i="4"/>
  <c r="G27" i="4"/>
  <c r="H27" i="4"/>
  <c r="J27" i="4" s="1"/>
  <c r="L27" i="4"/>
  <c r="M27" i="4"/>
  <c r="G28" i="4"/>
  <c r="H28" i="4"/>
  <c r="I28" i="4" s="1"/>
  <c r="L28" i="4"/>
  <c r="M28" i="4"/>
  <c r="G29" i="4"/>
  <c r="H29" i="4"/>
  <c r="K29" i="4" s="1"/>
  <c r="L29" i="4"/>
  <c r="M29" i="4"/>
  <c r="G30" i="4"/>
  <c r="H30" i="4"/>
  <c r="J30" i="4" s="1"/>
  <c r="L30" i="4"/>
  <c r="M30" i="4"/>
  <c r="G31" i="4"/>
  <c r="H31" i="4"/>
  <c r="I31" i="4" s="1"/>
  <c r="L31" i="4"/>
  <c r="M31" i="4"/>
  <c r="G32" i="4"/>
  <c r="H32" i="4"/>
  <c r="K32" i="4" s="1"/>
  <c r="L32" i="4"/>
  <c r="M32" i="4"/>
  <c r="G33" i="4"/>
  <c r="H33" i="4"/>
  <c r="J33" i="4" s="1"/>
  <c r="L33" i="4"/>
  <c r="M33" i="4"/>
  <c r="G34" i="4"/>
  <c r="H34" i="4"/>
  <c r="I34" i="4" s="1"/>
  <c r="L34" i="4"/>
  <c r="M34" i="4"/>
  <c r="G35" i="4"/>
  <c r="H35" i="4"/>
  <c r="K35" i="4" s="1"/>
  <c r="L35" i="4"/>
  <c r="M35" i="4"/>
  <c r="G36" i="4"/>
  <c r="H36" i="4"/>
  <c r="J36" i="4" s="1"/>
  <c r="L36" i="4"/>
  <c r="M36" i="4"/>
  <c r="G37" i="4"/>
  <c r="H37" i="4"/>
  <c r="I37" i="4" s="1"/>
  <c r="L37" i="4"/>
  <c r="M37" i="4"/>
  <c r="G38" i="4"/>
  <c r="H38" i="4"/>
  <c r="I38" i="4" s="1"/>
  <c r="L38" i="4"/>
  <c r="M38" i="4"/>
  <c r="G39" i="4"/>
  <c r="H39" i="4"/>
  <c r="J39" i="4" s="1"/>
  <c r="L39" i="4"/>
  <c r="M39" i="4"/>
  <c r="G40" i="4"/>
  <c r="H40" i="4"/>
  <c r="I40" i="4" s="1"/>
  <c r="L40" i="4"/>
  <c r="M40" i="4"/>
  <c r="G41" i="4"/>
  <c r="H41" i="4"/>
  <c r="K41" i="4" s="1"/>
  <c r="L41" i="4"/>
  <c r="M41" i="4"/>
  <c r="G42" i="4"/>
  <c r="H42" i="4"/>
  <c r="J42" i="4" s="1"/>
  <c r="L42" i="4"/>
  <c r="M42" i="4"/>
  <c r="G43" i="4"/>
  <c r="H43" i="4"/>
  <c r="I43" i="4" s="1"/>
  <c r="L43" i="4"/>
  <c r="M43" i="4"/>
  <c r="G44" i="4"/>
  <c r="H44" i="4"/>
  <c r="I44" i="4" s="1"/>
  <c r="L44" i="4"/>
  <c r="M44" i="4"/>
  <c r="G45" i="4"/>
  <c r="H45" i="4"/>
  <c r="J45" i="4" s="1"/>
  <c r="L45" i="4"/>
  <c r="M45" i="4"/>
  <c r="G46" i="4"/>
  <c r="H46" i="4"/>
  <c r="I46" i="4" s="1"/>
  <c r="L46" i="4"/>
  <c r="M46" i="4"/>
  <c r="G47" i="4"/>
  <c r="H47" i="4"/>
  <c r="K47" i="4" s="1"/>
  <c r="L47" i="4"/>
  <c r="M47" i="4"/>
  <c r="G48" i="4"/>
  <c r="H48" i="4"/>
  <c r="J48" i="4" s="1"/>
  <c r="L48" i="4"/>
  <c r="M48" i="4"/>
  <c r="G49" i="4"/>
  <c r="H49" i="4"/>
  <c r="I49" i="4" s="1"/>
  <c r="L49" i="4"/>
  <c r="M49" i="4"/>
  <c r="H2" i="4"/>
  <c r="G2" i="4"/>
  <c r="A105" i="1"/>
  <c r="B105" i="1"/>
  <c r="C105" i="1"/>
  <c r="D105" i="1"/>
  <c r="E105" i="1"/>
  <c r="F105" i="1"/>
  <c r="G105" i="1"/>
  <c r="A106" i="1"/>
  <c r="B106" i="1"/>
  <c r="C106" i="1"/>
  <c r="D106" i="1"/>
  <c r="E106" i="1"/>
  <c r="F106" i="1"/>
  <c r="G106" i="1"/>
  <c r="A107" i="1"/>
  <c r="B107" i="1"/>
  <c r="C107" i="1"/>
  <c r="D107" i="1"/>
  <c r="E107" i="1"/>
  <c r="F107" i="1"/>
  <c r="G107" i="1"/>
  <c r="A108" i="1"/>
  <c r="B108" i="1"/>
  <c r="C108" i="1"/>
  <c r="D108" i="1"/>
  <c r="E108" i="1"/>
  <c r="F108" i="1"/>
  <c r="G108" i="1"/>
  <c r="A109" i="1"/>
  <c r="B109" i="1"/>
  <c r="C109" i="1"/>
  <c r="D109" i="1"/>
  <c r="E109" i="1"/>
  <c r="F109" i="1"/>
  <c r="G109" i="1"/>
  <c r="A110" i="1"/>
  <c r="B110" i="1"/>
  <c r="C110" i="1"/>
  <c r="D110" i="1"/>
  <c r="E110" i="1"/>
  <c r="F110" i="1"/>
  <c r="G110" i="1"/>
  <c r="A111" i="1"/>
  <c r="B111" i="1"/>
  <c r="C111" i="1"/>
  <c r="D111" i="1"/>
  <c r="E111" i="1"/>
  <c r="F111" i="1"/>
  <c r="G111" i="1"/>
  <c r="A112" i="1"/>
  <c r="B112" i="1"/>
  <c r="C112" i="1"/>
  <c r="D112" i="1"/>
  <c r="E112" i="1"/>
  <c r="F112" i="1"/>
  <c r="G112" i="1"/>
  <c r="A113" i="1"/>
  <c r="B113" i="1"/>
  <c r="C113" i="1"/>
  <c r="D113" i="1"/>
  <c r="E113" i="1"/>
  <c r="F113" i="1"/>
  <c r="G113" i="1"/>
  <c r="A114" i="1"/>
  <c r="B114" i="1"/>
  <c r="C114" i="1"/>
  <c r="D114" i="1"/>
  <c r="E114" i="1"/>
  <c r="F114" i="1"/>
  <c r="G114" i="1"/>
  <c r="A115" i="1"/>
  <c r="B115" i="1"/>
  <c r="C115" i="1"/>
  <c r="D115" i="1"/>
  <c r="E115" i="1"/>
  <c r="F115" i="1"/>
  <c r="G115" i="1"/>
  <c r="A116" i="1"/>
  <c r="B116" i="1"/>
  <c r="C116" i="1"/>
  <c r="D116" i="1"/>
  <c r="E116" i="1"/>
  <c r="F116" i="1"/>
  <c r="G116" i="1"/>
  <c r="A117" i="1"/>
  <c r="B117" i="1"/>
  <c r="C117" i="1"/>
  <c r="D117" i="1"/>
  <c r="E117" i="1"/>
  <c r="F117" i="1"/>
  <c r="G117" i="1"/>
  <c r="A118" i="1"/>
  <c r="B118" i="1"/>
  <c r="C118" i="1"/>
  <c r="D118" i="1"/>
  <c r="E118" i="1"/>
  <c r="F118" i="1"/>
  <c r="G118" i="1"/>
  <c r="A119" i="1"/>
  <c r="B119" i="1"/>
  <c r="C119" i="1"/>
  <c r="D119" i="1"/>
  <c r="E119" i="1"/>
  <c r="F119" i="1"/>
  <c r="G119" i="1"/>
  <c r="A120" i="1"/>
  <c r="B120" i="1"/>
  <c r="C120" i="1"/>
  <c r="D120" i="1"/>
  <c r="E120" i="1"/>
  <c r="F120" i="1"/>
  <c r="G120" i="1"/>
  <c r="A121" i="1"/>
  <c r="B121" i="1"/>
  <c r="C121" i="1"/>
  <c r="D121" i="1"/>
  <c r="E121" i="1"/>
  <c r="F121" i="1"/>
  <c r="G121" i="1"/>
  <c r="A122" i="1"/>
  <c r="B122" i="1"/>
  <c r="C122" i="1"/>
  <c r="D122" i="1"/>
  <c r="E122" i="1"/>
  <c r="F122" i="1"/>
  <c r="G122" i="1"/>
  <c r="A123" i="1"/>
  <c r="B123" i="1"/>
  <c r="C123" i="1"/>
  <c r="D123" i="1"/>
  <c r="E123" i="1"/>
  <c r="F123" i="1"/>
  <c r="G123" i="1"/>
  <c r="A124" i="1"/>
  <c r="B124" i="1"/>
  <c r="C124" i="1"/>
  <c r="D124" i="1"/>
  <c r="E124" i="1"/>
  <c r="F124" i="1"/>
  <c r="G124" i="1"/>
  <c r="A125" i="1"/>
  <c r="B125" i="1"/>
  <c r="C125" i="1"/>
  <c r="D125" i="1"/>
  <c r="E125" i="1"/>
  <c r="F125" i="1"/>
  <c r="G125" i="1"/>
  <c r="A126" i="1"/>
  <c r="B126" i="1"/>
  <c r="C126" i="1"/>
  <c r="D126" i="1"/>
  <c r="E126" i="1"/>
  <c r="F126" i="1"/>
  <c r="G126" i="1"/>
  <c r="A127" i="1"/>
  <c r="B127" i="1"/>
  <c r="C127" i="1"/>
  <c r="D127" i="1"/>
  <c r="E127" i="1"/>
  <c r="F127" i="1"/>
  <c r="G127" i="1"/>
  <c r="A128" i="1"/>
  <c r="B128" i="1"/>
  <c r="C128" i="1"/>
  <c r="D128" i="1"/>
  <c r="E128" i="1"/>
  <c r="F128" i="1"/>
  <c r="G128" i="1"/>
  <c r="A129" i="1"/>
  <c r="B129" i="1"/>
  <c r="C129" i="1"/>
  <c r="D129" i="1"/>
  <c r="E129" i="1"/>
  <c r="F129" i="1"/>
  <c r="G129" i="1"/>
  <c r="A130" i="1"/>
  <c r="B130" i="1"/>
  <c r="C130" i="1"/>
  <c r="D130" i="1"/>
  <c r="E130" i="1"/>
  <c r="F130" i="1"/>
  <c r="G130" i="1"/>
  <c r="A131" i="1"/>
  <c r="B131" i="1"/>
  <c r="C131" i="1"/>
  <c r="D131" i="1"/>
  <c r="E131" i="1"/>
  <c r="F131" i="1"/>
  <c r="G131" i="1"/>
  <c r="A132" i="1"/>
  <c r="B132" i="1"/>
  <c r="C132" i="1"/>
  <c r="D132" i="1"/>
  <c r="E132" i="1"/>
  <c r="F132" i="1"/>
  <c r="G132" i="1"/>
  <c r="A133" i="1"/>
  <c r="B133" i="1"/>
  <c r="C133" i="1"/>
  <c r="D133" i="1"/>
  <c r="E133" i="1"/>
  <c r="F133" i="1"/>
  <c r="G133" i="1"/>
  <c r="A134" i="1"/>
  <c r="B134" i="1"/>
  <c r="C134" i="1"/>
  <c r="D134" i="1"/>
  <c r="E134" i="1"/>
  <c r="F134" i="1"/>
  <c r="G134" i="1"/>
  <c r="A135" i="1"/>
  <c r="B135" i="1"/>
  <c r="C135" i="1"/>
  <c r="D135" i="1"/>
  <c r="E135" i="1"/>
  <c r="F135" i="1"/>
  <c r="G135" i="1"/>
  <c r="A136" i="1"/>
  <c r="B136" i="1"/>
  <c r="C136" i="1"/>
  <c r="D136" i="1"/>
  <c r="E136" i="1"/>
  <c r="F136" i="1"/>
  <c r="G136" i="1"/>
  <c r="A137" i="1"/>
  <c r="B137" i="1"/>
  <c r="C137" i="1"/>
  <c r="D137" i="1"/>
  <c r="E137" i="1"/>
  <c r="F137" i="1"/>
  <c r="G137" i="1"/>
  <c r="A138" i="1"/>
  <c r="B138" i="1"/>
  <c r="C138" i="1"/>
  <c r="D138" i="1"/>
  <c r="E138" i="1"/>
  <c r="F138" i="1"/>
  <c r="G138" i="1"/>
  <c r="A139" i="1"/>
  <c r="B139" i="1"/>
  <c r="C139" i="1"/>
  <c r="D139" i="1"/>
  <c r="E139" i="1"/>
  <c r="F139" i="1"/>
  <c r="G139" i="1"/>
  <c r="A140" i="1"/>
  <c r="B140" i="1"/>
  <c r="C140" i="1"/>
  <c r="D140" i="1"/>
  <c r="E140" i="1"/>
  <c r="F140" i="1"/>
  <c r="G140" i="1"/>
  <c r="A141" i="1"/>
  <c r="B141" i="1"/>
  <c r="C141" i="1"/>
  <c r="D141" i="1"/>
  <c r="E141" i="1"/>
  <c r="F141" i="1"/>
  <c r="G141" i="1"/>
  <c r="A142" i="1"/>
  <c r="B142" i="1"/>
  <c r="C142" i="1"/>
  <c r="D142" i="1"/>
  <c r="E142" i="1"/>
  <c r="F142" i="1"/>
  <c r="G142" i="1"/>
  <c r="A143" i="1"/>
  <c r="B143" i="1"/>
  <c r="C143" i="1"/>
  <c r="D143" i="1"/>
  <c r="E143" i="1"/>
  <c r="F143" i="1"/>
  <c r="G143" i="1"/>
  <c r="A144" i="1"/>
  <c r="B144" i="1"/>
  <c r="C144" i="1"/>
  <c r="D144" i="1"/>
  <c r="E144" i="1"/>
  <c r="F144" i="1"/>
  <c r="G144" i="1"/>
  <c r="A145" i="1"/>
  <c r="B145" i="1"/>
  <c r="C145" i="1"/>
  <c r="D145" i="1"/>
  <c r="E145" i="1"/>
  <c r="F145" i="1"/>
  <c r="G145" i="1"/>
  <c r="A146" i="1"/>
  <c r="B146" i="1"/>
  <c r="C146" i="1"/>
  <c r="D146" i="1"/>
  <c r="E146" i="1"/>
  <c r="F146" i="1"/>
  <c r="G146" i="1"/>
  <c r="A147" i="1"/>
  <c r="B147" i="1"/>
  <c r="C147" i="1"/>
  <c r="D147" i="1"/>
  <c r="E147" i="1"/>
  <c r="F147" i="1"/>
  <c r="G147" i="1"/>
  <c r="A148" i="1"/>
  <c r="B148" i="1"/>
  <c r="C148" i="1"/>
  <c r="D148" i="1"/>
  <c r="E148" i="1"/>
  <c r="F148" i="1"/>
  <c r="G148" i="1"/>
  <c r="A149" i="1"/>
  <c r="B149" i="1"/>
  <c r="C149" i="1"/>
  <c r="D149" i="1"/>
  <c r="E149" i="1"/>
  <c r="F149" i="1"/>
  <c r="G149" i="1"/>
  <c r="A150" i="1"/>
  <c r="B150" i="1"/>
  <c r="C150" i="1"/>
  <c r="D150" i="1"/>
  <c r="E150" i="1"/>
  <c r="F150" i="1"/>
  <c r="G150" i="1"/>
  <c r="A151" i="1"/>
  <c r="B151" i="1"/>
  <c r="C151" i="1"/>
  <c r="D151" i="1"/>
  <c r="E151" i="1"/>
  <c r="F151" i="1"/>
  <c r="G151" i="1"/>
  <c r="A152" i="1"/>
  <c r="B152" i="1"/>
  <c r="C152" i="1"/>
  <c r="D152" i="1"/>
  <c r="E152" i="1"/>
  <c r="F152" i="1"/>
  <c r="G152" i="1"/>
  <c r="A153" i="1"/>
  <c r="B153" i="1"/>
  <c r="C153" i="1"/>
  <c r="D153" i="1"/>
  <c r="E153" i="1"/>
  <c r="F153" i="1"/>
  <c r="G153" i="1"/>
  <c r="A154" i="1"/>
  <c r="B154" i="1"/>
  <c r="C154" i="1"/>
  <c r="D154" i="1"/>
  <c r="E154" i="1"/>
  <c r="F154" i="1"/>
  <c r="G154" i="1"/>
  <c r="A155" i="1"/>
  <c r="B155" i="1"/>
  <c r="C155" i="1"/>
  <c r="D155" i="1"/>
  <c r="E155" i="1"/>
  <c r="F155" i="1"/>
  <c r="G155" i="1"/>
  <c r="A156" i="1"/>
  <c r="B156" i="1"/>
  <c r="C156" i="1"/>
  <c r="D156" i="1"/>
  <c r="E156" i="1"/>
  <c r="F156" i="1"/>
  <c r="G156" i="1"/>
  <c r="A157" i="1"/>
  <c r="B157" i="1"/>
  <c r="C157" i="1"/>
  <c r="D157" i="1"/>
  <c r="E157" i="1"/>
  <c r="F157" i="1"/>
  <c r="G157" i="1"/>
  <c r="A158" i="1"/>
  <c r="B158" i="1"/>
  <c r="C158" i="1"/>
  <c r="D158" i="1"/>
  <c r="E158" i="1"/>
  <c r="F158" i="1"/>
  <c r="G158" i="1"/>
  <c r="A159" i="1"/>
  <c r="B159" i="1"/>
  <c r="C159" i="1"/>
  <c r="D159" i="1"/>
  <c r="E159" i="1"/>
  <c r="F159" i="1"/>
  <c r="G159" i="1"/>
  <c r="A160" i="1"/>
  <c r="B160" i="1"/>
  <c r="C160" i="1"/>
  <c r="D160" i="1"/>
  <c r="E160" i="1"/>
  <c r="F160" i="1"/>
  <c r="G160" i="1"/>
  <c r="A161" i="1"/>
  <c r="B161" i="1"/>
  <c r="C161" i="1"/>
  <c r="D161" i="1"/>
  <c r="E161" i="1"/>
  <c r="F161" i="1"/>
  <c r="G161" i="1"/>
  <c r="A162" i="1"/>
  <c r="B162" i="1"/>
  <c r="C162" i="1"/>
  <c r="D162" i="1"/>
  <c r="E162" i="1"/>
  <c r="F162" i="1"/>
  <c r="G162" i="1"/>
  <c r="A163" i="1"/>
  <c r="B163" i="1"/>
  <c r="C163" i="1"/>
  <c r="D163" i="1"/>
  <c r="E163" i="1"/>
  <c r="F163" i="1"/>
  <c r="G163" i="1"/>
  <c r="A164" i="1"/>
  <c r="B164" i="1"/>
  <c r="C164" i="1"/>
  <c r="D164" i="1"/>
  <c r="E164" i="1"/>
  <c r="F164" i="1"/>
  <c r="G164" i="1"/>
  <c r="A165" i="1"/>
  <c r="B165" i="1"/>
  <c r="C165" i="1"/>
  <c r="D165" i="1"/>
  <c r="E165" i="1"/>
  <c r="F165" i="1"/>
  <c r="G165" i="1"/>
  <c r="A166" i="1"/>
  <c r="B166" i="1"/>
  <c r="C166" i="1"/>
  <c r="D166" i="1"/>
  <c r="E166" i="1"/>
  <c r="F166" i="1"/>
  <c r="G166" i="1"/>
  <c r="A167" i="1"/>
  <c r="B167" i="1"/>
  <c r="C167" i="1"/>
  <c r="D167" i="1"/>
  <c r="E167" i="1"/>
  <c r="F167" i="1"/>
  <c r="G167" i="1"/>
  <c r="A168" i="1"/>
  <c r="B168" i="1"/>
  <c r="C168" i="1"/>
  <c r="D168" i="1"/>
  <c r="E168" i="1"/>
  <c r="F168" i="1"/>
  <c r="G168" i="1"/>
  <c r="A169" i="1"/>
  <c r="B169" i="1"/>
  <c r="C169" i="1"/>
  <c r="D169" i="1"/>
  <c r="E169" i="1"/>
  <c r="F169" i="1"/>
  <c r="G169" i="1"/>
  <c r="A170" i="1"/>
  <c r="B170" i="1"/>
  <c r="C170" i="1"/>
  <c r="D170" i="1"/>
  <c r="E170" i="1"/>
  <c r="F170" i="1"/>
  <c r="G170" i="1"/>
  <c r="A171" i="1"/>
  <c r="B171" i="1"/>
  <c r="C171" i="1"/>
  <c r="D171" i="1"/>
  <c r="E171" i="1"/>
  <c r="F171" i="1"/>
  <c r="G171" i="1"/>
  <c r="A172" i="1"/>
  <c r="B172" i="1"/>
  <c r="C172" i="1"/>
  <c r="D172" i="1"/>
  <c r="E172" i="1"/>
  <c r="F172" i="1"/>
  <c r="G172" i="1"/>
  <c r="A173" i="1"/>
  <c r="B173" i="1"/>
  <c r="C173" i="1"/>
  <c r="D173" i="1"/>
  <c r="E173" i="1"/>
  <c r="F173" i="1"/>
  <c r="G173" i="1"/>
  <c r="A174" i="1"/>
  <c r="B174" i="1"/>
  <c r="C174" i="1"/>
  <c r="D174" i="1"/>
  <c r="E174" i="1"/>
  <c r="F174" i="1"/>
  <c r="G174" i="1"/>
  <c r="A175" i="1"/>
  <c r="B175" i="1"/>
  <c r="C175" i="1"/>
  <c r="D175" i="1"/>
  <c r="E175" i="1"/>
  <c r="F175" i="1"/>
  <c r="G175" i="1"/>
  <c r="A176" i="1"/>
  <c r="B176" i="1"/>
  <c r="C176" i="1"/>
  <c r="D176" i="1"/>
  <c r="E176" i="1"/>
  <c r="F176" i="1"/>
  <c r="G176" i="1"/>
  <c r="A177" i="1"/>
  <c r="B177" i="1"/>
  <c r="C177" i="1"/>
  <c r="D177" i="1"/>
  <c r="E177" i="1"/>
  <c r="F177" i="1"/>
  <c r="G177" i="1"/>
  <c r="A178" i="1"/>
  <c r="B178" i="1"/>
  <c r="C178" i="1"/>
  <c r="D178" i="1"/>
  <c r="E178" i="1"/>
  <c r="F178" i="1"/>
  <c r="G178" i="1"/>
  <c r="A179" i="1"/>
  <c r="B179" i="1"/>
  <c r="C179" i="1"/>
  <c r="D179" i="1"/>
  <c r="E179" i="1"/>
  <c r="F179" i="1"/>
  <c r="G179" i="1"/>
  <c r="A180" i="1"/>
  <c r="B180" i="1"/>
  <c r="C180" i="1"/>
  <c r="D180" i="1"/>
  <c r="E180" i="1"/>
  <c r="F180" i="1"/>
  <c r="G180" i="1"/>
  <c r="A181" i="1"/>
  <c r="B181" i="1"/>
  <c r="C181" i="1"/>
  <c r="D181" i="1"/>
  <c r="E181" i="1"/>
  <c r="F181" i="1"/>
  <c r="G181" i="1"/>
  <c r="A182" i="1"/>
  <c r="B182" i="1"/>
  <c r="C182" i="1"/>
  <c r="D182" i="1"/>
  <c r="E182" i="1"/>
  <c r="F182" i="1"/>
  <c r="G182" i="1"/>
  <c r="A183" i="1"/>
  <c r="B183" i="1"/>
  <c r="C183" i="1"/>
  <c r="D183" i="1"/>
  <c r="E183" i="1"/>
  <c r="F183" i="1"/>
  <c r="G183" i="1"/>
  <c r="A184" i="1"/>
  <c r="B184" i="1"/>
  <c r="C184" i="1"/>
  <c r="D184" i="1"/>
  <c r="E184" i="1"/>
  <c r="F184" i="1"/>
  <c r="G184" i="1"/>
  <c r="A185" i="1"/>
  <c r="B185" i="1"/>
  <c r="C185" i="1"/>
  <c r="D185" i="1"/>
  <c r="E185" i="1"/>
  <c r="F185" i="1"/>
  <c r="G185" i="1"/>
  <c r="A186" i="1"/>
  <c r="B186" i="1"/>
  <c r="C186" i="1"/>
  <c r="D186" i="1"/>
  <c r="E186" i="1"/>
  <c r="F186" i="1"/>
  <c r="G186" i="1"/>
  <c r="A187" i="1"/>
  <c r="B187" i="1"/>
  <c r="C187" i="1"/>
  <c r="D187" i="1"/>
  <c r="E187" i="1"/>
  <c r="F187" i="1"/>
  <c r="G187" i="1"/>
  <c r="J8" i="4" l="1"/>
  <c r="K49" i="4"/>
  <c r="J35" i="4"/>
  <c r="K20" i="4"/>
  <c r="I18" i="4"/>
  <c r="I8" i="4"/>
  <c r="K42" i="4"/>
  <c r="I32" i="4"/>
  <c r="K24" i="4"/>
  <c r="I6" i="4"/>
  <c r="I45" i="4"/>
  <c r="K38" i="4"/>
  <c r="K36" i="4"/>
  <c r="J14" i="4"/>
  <c r="J41" i="4"/>
  <c r="K37" i="4"/>
  <c r="I36" i="4"/>
  <c r="J32" i="4"/>
  <c r="J23" i="4"/>
  <c r="I14" i="4"/>
  <c r="D14" i="1" s="1"/>
  <c r="K6" i="4"/>
  <c r="J5" i="4"/>
  <c r="K26" i="4"/>
  <c r="J26" i="4"/>
  <c r="D26" i="1" s="1"/>
  <c r="I48" i="4"/>
  <c r="J44" i="4"/>
  <c r="K18" i="4"/>
  <c r="J17" i="4"/>
  <c r="K44" i="4"/>
  <c r="I42" i="4"/>
  <c r="I27" i="4"/>
  <c r="K25" i="4"/>
  <c r="I24" i="4"/>
  <c r="I9" i="4"/>
  <c r="K7" i="4"/>
  <c r="I39" i="4"/>
  <c r="J38" i="4"/>
  <c r="I21" i="4"/>
  <c r="J20" i="4"/>
  <c r="K19" i="4"/>
  <c r="I3" i="4"/>
  <c r="K30" i="4"/>
  <c r="J29" i="4"/>
  <c r="K12" i="4"/>
  <c r="J11" i="4"/>
  <c r="K48" i="4"/>
  <c r="J47" i="4"/>
  <c r="I33" i="4"/>
  <c r="K31" i="4"/>
  <c r="I30" i="4"/>
  <c r="I15" i="4"/>
  <c r="K13" i="4"/>
  <c r="I12" i="4"/>
  <c r="K40" i="4"/>
  <c r="K34" i="4"/>
  <c r="K22" i="4"/>
  <c r="K10" i="4"/>
  <c r="I47" i="4"/>
  <c r="J46" i="4"/>
  <c r="K45" i="4"/>
  <c r="D45" i="1" s="1"/>
  <c r="I41" i="4"/>
  <c r="D41" i="1" s="1"/>
  <c r="J40" i="4"/>
  <c r="K39" i="4"/>
  <c r="I35" i="4"/>
  <c r="J34" i="4"/>
  <c r="K33" i="4"/>
  <c r="I29" i="4"/>
  <c r="D29" i="1" s="1"/>
  <c r="J28" i="4"/>
  <c r="K27" i="4"/>
  <c r="I23" i="4"/>
  <c r="J22" i="4"/>
  <c r="K21" i="4"/>
  <c r="I17" i="4"/>
  <c r="J16" i="4"/>
  <c r="K15" i="4"/>
  <c r="I11" i="4"/>
  <c r="J10" i="4"/>
  <c r="K9" i="4"/>
  <c r="I5" i="4"/>
  <c r="J4" i="4"/>
  <c r="K3" i="4"/>
  <c r="K46" i="4"/>
  <c r="K28" i="4"/>
  <c r="K16" i="4"/>
  <c r="K4" i="4"/>
  <c r="K43" i="4"/>
  <c r="J49" i="4"/>
  <c r="D49" i="1" s="1"/>
  <c r="J31" i="4"/>
  <c r="J25" i="4"/>
  <c r="J19" i="4"/>
  <c r="J13" i="4"/>
  <c r="J7" i="4"/>
  <c r="J43" i="4"/>
  <c r="J37" i="4"/>
  <c r="J2" i="4"/>
  <c r="A188" i="1"/>
  <c r="B188" i="1"/>
  <c r="C188" i="1"/>
  <c r="D188" i="1"/>
  <c r="E188" i="1"/>
  <c r="F188" i="1"/>
  <c r="G188" i="1"/>
  <c r="A189" i="1"/>
  <c r="B189" i="1"/>
  <c r="C189" i="1"/>
  <c r="D189" i="1"/>
  <c r="E189" i="1"/>
  <c r="F189" i="1"/>
  <c r="G189" i="1"/>
  <c r="A190" i="1"/>
  <c r="B190" i="1"/>
  <c r="C190" i="1"/>
  <c r="D190" i="1"/>
  <c r="E190" i="1"/>
  <c r="F190" i="1"/>
  <c r="G190" i="1"/>
  <c r="A2" i="1"/>
  <c r="B2" i="1"/>
  <c r="A191" i="1"/>
  <c r="B191" i="1"/>
  <c r="C191" i="1"/>
  <c r="D191" i="1"/>
  <c r="E191" i="1"/>
  <c r="F191" i="1"/>
  <c r="G191" i="1"/>
  <c r="A192" i="1"/>
  <c r="B192" i="1"/>
  <c r="C192" i="1"/>
  <c r="D192" i="1"/>
  <c r="E192" i="1"/>
  <c r="F192" i="1"/>
  <c r="G192" i="1"/>
  <c r="A193" i="1"/>
  <c r="B193" i="1"/>
  <c r="C193" i="1"/>
  <c r="D193" i="1"/>
  <c r="E193" i="1"/>
  <c r="F193" i="1"/>
  <c r="G193" i="1"/>
  <c r="G2" i="1"/>
  <c r="F2" i="1"/>
  <c r="E2" i="1"/>
  <c r="L2" i="4"/>
  <c r="M2" i="4"/>
  <c r="C2" i="1"/>
  <c r="D42" i="1" l="1"/>
  <c r="D8" i="1"/>
  <c r="D23" i="1"/>
  <c r="D18" i="1"/>
  <c r="D32" i="1"/>
  <c r="D37" i="1"/>
  <c r="D11" i="1"/>
  <c r="D35" i="1"/>
  <c r="D17" i="1"/>
  <c r="D38" i="1"/>
  <c r="D43" i="1"/>
  <c r="D20" i="1"/>
  <c r="D6" i="1"/>
  <c r="D5" i="1"/>
  <c r="D47" i="1"/>
  <c r="D48" i="1"/>
  <c r="D24" i="1"/>
  <c r="D34" i="1"/>
  <c r="D31" i="1"/>
  <c r="D7" i="1"/>
  <c r="D4" i="1"/>
  <c r="D16" i="1"/>
  <c r="D28" i="1"/>
  <c r="D40" i="1"/>
  <c r="D30" i="1"/>
  <c r="D39" i="1"/>
  <c r="D13" i="1"/>
  <c r="D19" i="1"/>
  <c r="D25" i="1"/>
  <c r="D10" i="1"/>
  <c r="D22" i="1"/>
  <c r="D46" i="1"/>
  <c r="D44" i="1"/>
  <c r="D36" i="1"/>
  <c r="D33" i="1"/>
  <c r="D12" i="1"/>
  <c r="D3" i="1"/>
  <c r="D9" i="1"/>
  <c r="D15" i="1"/>
  <c r="D21" i="1"/>
  <c r="D27" i="1"/>
  <c r="K2" i="4"/>
  <c r="I2" i="4"/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李树明</author>
  </authors>
  <commentList>
    <comment ref="H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设置事件点的距离，距离为上一个事件点到现在事件点的距离，注意总和不能超过光缆的总距离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设置哪些芯数生成事件，例如 2,4-6 这样就表示，第2，4，5，6芯中间会生成一个事件点，如果为空则不生成，只支持一个事件，注意：必须是在英文状态下输入符号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金国伟</author>
  </authors>
  <commentList>
    <comment ref="Q1" authorId="0" shapeId="0" xr:uid="{E77DEA22-33C7-475D-BC57-CAFD325803E3}">
      <text>
        <r>
          <rPr>
            <b/>
            <sz val="9"/>
            <color indexed="81"/>
            <rFont val="宋体"/>
            <family val="3"/>
            <charset val="134"/>
          </rPr>
          <t xml:space="preserve">设置需要的事件点，1-0-0-0-0-0，表示第一个事件点，1-1-0-0-0-0表示两个事件点，以此类推，事件点只能按顺序设置 </t>
        </r>
      </text>
    </comment>
    <comment ref="R1" authorId="0" shapeId="0" xr:uid="{AA7CD5E5-677F-44CA-8780-8A839B5E6FEF}">
      <text>
        <r>
          <rPr>
            <b/>
            <sz val="9"/>
            <color indexed="81"/>
            <rFont val="宋体"/>
            <family val="3"/>
            <charset val="134"/>
          </rPr>
          <t>设置事件点的距离</t>
        </r>
      </text>
    </comment>
    <comment ref="S1" authorId="0" shapeId="0" xr:uid="{744BAABC-AD7F-4B76-90DF-D2428F78EB5A}">
      <text>
        <r>
          <rPr>
            <b/>
            <sz val="9"/>
            <color indexed="81"/>
            <rFont val="宋体"/>
            <family val="3"/>
            <charset val="134"/>
          </rPr>
          <t>设置哪些芯数生成事件，例如 2,4-6 这样就表示，第2，4，5，6芯中间会生成一个事件点，如果为空则不生成，只支持一个事件，注意：必须是在英文状态下输入符号</t>
        </r>
      </text>
    </comment>
  </commentList>
</comments>
</file>

<file path=xl/sharedStrings.xml><?xml version="1.0" encoding="utf-8"?>
<sst xmlns="http://schemas.openxmlformats.org/spreadsheetml/2006/main" count="274" uniqueCount="79">
  <si>
    <t>距离(米)</t>
  </si>
  <si>
    <t>年月</t>
  </si>
  <si>
    <t>波长</t>
  </si>
  <si>
    <t>事件距离</t>
  </si>
  <si>
    <t>平均衰耗</t>
    <phoneticPr fontId="2" type="noConversion"/>
  </si>
  <si>
    <t>光缆段名称</t>
    <phoneticPr fontId="2" type="noConversion"/>
  </si>
  <si>
    <t>芯数</t>
    <phoneticPr fontId="2" type="noConversion"/>
  </si>
  <si>
    <t>光缆标号</t>
    <phoneticPr fontId="2" type="noConversion"/>
  </si>
  <si>
    <t>是否成端</t>
    <phoneticPr fontId="2" type="noConversion"/>
  </si>
  <si>
    <t>假纤</t>
    <phoneticPr fontId="2" type="noConversion"/>
  </si>
  <si>
    <t>是</t>
    <phoneticPr fontId="2" type="noConversion"/>
  </si>
  <si>
    <t>打印日期</t>
  </si>
  <si>
    <t>名称</t>
  </si>
  <si>
    <t>芯数开始</t>
  </si>
  <si>
    <t>芯数结束</t>
  </si>
  <si>
    <t>时</t>
  </si>
  <si>
    <t>分</t>
  </si>
  <si>
    <t>平均衰耗</t>
  </si>
  <si>
    <t>事件点</t>
  </si>
  <si>
    <t>事件芯数</t>
  </si>
  <si>
    <t>2019-11-5</t>
    <phoneticPr fontId="7" type="noConversion"/>
  </si>
  <si>
    <r>
      <t>0</t>
    </r>
    <r>
      <rPr>
        <sz val="11"/>
        <color indexed="8"/>
        <rFont val="等线"/>
        <family val="3"/>
        <charset val="134"/>
      </rPr>
      <t>-</t>
    </r>
    <r>
      <rPr>
        <sz val="11"/>
        <color indexed="8"/>
        <rFont val="等线"/>
        <family val="3"/>
        <charset val="134"/>
      </rPr>
      <t>0</t>
    </r>
    <r>
      <rPr>
        <sz val="11"/>
        <color indexed="8"/>
        <rFont val="等线"/>
        <family val="3"/>
        <charset val="134"/>
      </rPr>
      <t>-0-0-0-0</t>
    </r>
    <phoneticPr fontId="7" type="noConversion"/>
  </si>
  <si>
    <r>
      <t>0-</t>
    </r>
    <r>
      <rPr>
        <sz val="11"/>
        <color indexed="8"/>
        <rFont val="等线"/>
        <family val="3"/>
        <charset val="134"/>
      </rPr>
      <t>0</t>
    </r>
    <r>
      <rPr>
        <sz val="11"/>
        <color indexed="8"/>
        <rFont val="等线"/>
        <family val="3"/>
        <charset val="134"/>
      </rPr>
      <t>-0-0-0-0</t>
    </r>
    <phoneticPr fontId="7" type="noConversion"/>
  </si>
  <si>
    <t>2019-11-5</t>
  </si>
  <si>
    <t>年</t>
    <phoneticPr fontId="6" type="noConversion"/>
  </si>
  <si>
    <t>月</t>
    <phoneticPr fontId="6" type="noConversion"/>
  </si>
  <si>
    <t>日</t>
    <phoneticPr fontId="6" type="noConversion"/>
  </si>
  <si>
    <t>型号</t>
    <phoneticPr fontId="6" type="noConversion"/>
  </si>
  <si>
    <t>48D</t>
  </si>
  <si>
    <t>接头数</t>
    <phoneticPr fontId="6" type="noConversion"/>
  </si>
  <si>
    <t>马嘶工业园光交至正威华东基站</t>
  </si>
  <si>
    <t>24D</t>
  </si>
  <si>
    <t>南浔世友地板基站至南浔新桥南堍光交</t>
  </si>
  <si>
    <t>方家港基站至浔织路浔北路光交</t>
  </si>
  <si>
    <t>朱家田新基站至铁塔菱湖南鱼鳌基站</t>
  </si>
  <si>
    <t>花林农兴村基站至练市乌林浜基站</t>
  </si>
  <si>
    <t>嘉业路南光交至开元名都度假区20幢楼顶搬迁基站</t>
  </si>
  <si>
    <t>骏马木业基站至引下大象酒店地下室机房</t>
  </si>
  <si>
    <t>菱湖竹墩岔口光交至菱湖前丘家苑基站</t>
  </si>
  <si>
    <t>和孚毛东港基站至湖盐公路星光农机北光交</t>
  </si>
  <si>
    <t>江蒋漾新村基站至西城路年丰路光交</t>
  </si>
  <si>
    <t>阳光大道与外环南路光交至玉麟府无线机房</t>
  </si>
  <si>
    <t>玉麟府无线机房至玉麟府有线机房</t>
  </si>
  <si>
    <t>风顺路新安路光交至铁塔孔雀城四期基站</t>
  </si>
  <si>
    <t>联谊路直港路光交至铁塔新安社区东基站</t>
  </si>
  <si>
    <t>漾南新村光交至铁塔漾南C区8幢基站</t>
  </si>
  <si>
    <t>菱湖竹墩污水泵站至铁塔通途桥梁构件公司基站</t>
  </si>
  <si>
    <t>章家角基站至千金北基站</t>
  </si>
  <si>
    <t>年丰路南林路光交至山水大酒店地下室弱电间新建分纤箱</t>
  </si>
  <si>
    <t>李家河基站至浔北路浔织路光交</t>
  </si>
  <si>
    <t>双林基站至维多利大道倪家滩光交</t>
  </si>
  <si>
    <t>年丰路西城路光交至翘楚棠小区14栋地下室传输机房</t>
  </si>
  <si>
    <t>翘楚棠小区14栋地下室传输机房至翘楚棠小区地下室无线机房</t>
  </si>
  <si>
    <t>风顺路人瑞路光交至嘉都广场有线机房</t>
  </si>
  <si>
    <t>草船兜基站至直港新村59幢</t>
  </si>
  <si>
    <t>直港新村59幢至直港新村88幢</t>
  </si>
  <si>
    <t>直港新村59幢至直港新村30幢</t>
  </si>
  <si>
    <t>便民路光交至颖园饭店楼顶</t>
  </si>
  <si>
    <t>便民路光交至虹阳路便民路光交</t>
  </si>
  <si>
    <t>向阳路湖浔大道光交至南浔新奥燃气有限公司地下室机房</t>
  </si>
  <si>
    <t>南浔新奥燃气有限公司地下室机房至南浔新奥燃气有限公司2F弱电间</t>
  </si>
  <si>
    <t>城南三期基站至浔练公路和睦兜光交</t>
  </si>
  <si>
    <t>南浔新桥南堍光交至章家湾北基站</t>
  </si>
  <si>
    <t>南浔中学基站至南浔区南浔中学光交</t>
  </si>
  <si>
    <t>富华路振华路光交至振华路东基站</t>
  </si>
  <si>
    <t>菱湖祥生臻苑2号楼楼顶至菱湖菱新公路人民医院西光交</t>
  </si>
  <si>
    <t>贝尚湾一期消控机房至贝尚湾一期7幢配电间</t>
    <phoneticPr fontId="6" type="noConversion"/>
  </si>
  <si>
    <t>贝尚湾一期7幢配电间至贝尚湾一期3幢配电间</t>
    <phoneticPr fontId="6" type="noConversion"/>
  </si>
  <si>
    <t>贝尚湾一期消控机房至贝尚湾一期12幢配电间</t>
    <phoneticPr fontId="6" type="noConversion"/>
  </si>
  <si>
    <t>贝尚湾一期12幢配电间至贝尚湾一期26幢配电间</t>
    <phoneticPr fontId="6" type="noConversion"/>
  </si>
  <si>
    <t>贝尚湾一期消控机房至贝尚湾一期综合楼-1F设备间</t>
    <phoneticPr fontId="6" type="noConversion"/>
  </si>
  <si>
    <t>嘉都广场有线机房至嘉都广场无线机房</t>
    <phoneticPr fontId="6" type="noConversion"/>
  </si>
  <si>
    <t>嘉都广场有线机房至嘉都广场5#楼9F</t>
    <phoneticPr fontId="6" type="noConversion"/>
  </si>
  <si>
    <t>嘉都广场有线机房至嘉都广场3#楼2F</t>
    <phoneticPr fontId="6" type="noConversion"/>
  </si>
  <si>
    <t>嘉都广场有线机房至嘉都广场2#楼6F</t>
    <phoneticPr fontId="6" type="noConversion"/>
  </si>
  <si>
    <t>嘉都广场有线机房至嘉都广场1#楼1F</t>
    <phoneticPr fontId="6" type="noConversion"/>
  </si>
  <si>
    <t>蝶来大酒店地下室机房光交至蝶来大酒店A1幢B1F弱电间</t>
    <phoneticPr fontId="6" type="noConversion"/>
  </si>
  <si>
    <t>蝶来大酒店A1幢B1F弱电间至蝶来大酒店A2幢B1F弱电间</t>
    <phoneticPr fontId="6" type="noConversion"/>
  </si>
  <si>
    <t>蝶来大酒店A1幢B1F弱电间至蝶来大酒店A2幢15F弱电间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</si>
</sst>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3" fillId="0" borderId="0" xfId="0" applyNumberFormat="1" applyFont="1">
      <alignment vertical="center"/>
    </xf>
    <xf numFmtId="0" fontId="0" fillId="0" borderId="0" xfId="0" applyAlignment="1"/>
    <xf numFmtId="0" fontId="3" fillId="0" borderId="0" xfId="1" applyFont="1" applyAlignment="1">
      <alignment horizontal="center" vertical="center"/>
    </xf>
    <xf numFmtId="0" fontId="5" fillId="0" borderId="0" xfId="1">
      <alignment vertical="center"/>
    </xf>
    <xf numFmtId="49" fontId="3" fillId="0" borderId="0" xfId="1" applyNumberFormat="1" applyFont="1">
      <alignment vertical="center"/>
    </xf>
    <xf numFmtId="0" fontId="5" fillId="0" borderId="0" xfId="1" applyAlignment="1"/>
    <xf numFmtId="0" fontId="3" fillId="0" borderId="0" xfId="1" applyFont="1">
      <alignment vertical="center"/>
    </xf>
    <xf numFmtId="49" fontId="5" fillId="0" borderId="0" xfId="1" applyNumberFormat="1">
      <alignment vertical="center"/>
    </xf>
    <xf numFmtId="0" fontId="8" fillId="0" borderId="0" xfId="1" applyFont="1">
      <alignment vertical="center"/>
    </xf>
    <xf numFmtId="58" fontId="5" fillId="0" borderId="0" xfId="1" applyNumberFormat="1">
      <alignment vertical="center"/>
    </xf>
    <xf numFmtId="49" fontId="8" fillId="0" borderId="0" xfId="1" applyNumberFormat="1" applyFont="1">
      <alignment vertical="center"/>
    </xf>
    <xf numFmtId="0" fontId="0" fillId="0" borderId="0" xfId="0" applyAlignment="1">
      <alignment wrapText="1"/>
    </xf>
    <xf numFmtId="0" fontId="0" fillId="2" borderId="0" xfId="0" applyFill="1">
      <alignment vertical="center"/>
    </xf>
    <xf numFmtId="0" fontId="3" fillId="0" borderId="0" xfId="1" applyFont="1" applyAlignment="1">
      <alignment horizontal="right" vertical="center"/>
    </xf>
    <xf numFmtId="0" fontId="5" fillId="0" borderId="0" xfId="0" applyFont="1" applyAlignment="1"/>
  </cellXfs>
  <cellStyles count="2">
    <cellStyle name="常规" xfId="0" builtinId="0"/>
    <cellStyle name="常规 2" xfId="1" xr:uid="{DF06DA39-8D71-4C2A-95D7-01C52BADE4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93"/>
  <sheetViews>
    <sheetView workbookViewId="0">
      <selection activeCell="B26" sqref="B26"/>
    </sheetView>
  </sheetViews>
  <sheetFormatPr defaultRowHeight="13.5" x14ac:dyDescent="0.15"/>
  <cols>
    <col min="1" max="1" width="43.875" style="1" customWidth="1"/>
    <col min="2" max="2" width="9.875" style="1" customWidth="1"/>
    <col min="3" max="3" width="5" style="1" bestFit="1" customWidth="1"/>
    <col min="4" max="4" width="22.125" style="1" customWidth="1"/>
    <col min="5" max="6" width="6.875" style="1" customWidth="1"/>
    <col min="7" max="7" width="9.125" customWidth="1"/>
    <col min="8" max="8" width="23.875" customWidth="1"/>
    <col min="9" max="9" width="9.5" customWidth="1"/>
    <col min="10" max="10" width="10.5" bestFit="1" customWidth="1"/>
  </cols>
  <sheetData>
    <row r="1" spans="1:10" x14ac:dyDescent="0.15">
      <c r="A1" s="2" t="s">
        <v>5</v>
      </c>
      <c r="B1" s="2" t="s">
        <v>0</v>
      </c>
      <c r="C1" s="3" t="s">
        <v>6</v>
      </c>
      <c r="D1" s="2" t="s">
        <v>1</v>
      </c>
      <c r="E1" s="2" t="s">
        <v>2</v>
      </c>
      <c r="F1" s="2" t="s">
        <v>4</v>
      </c>
      <c r="G1" s="4" t="s">
        <v>8</v>
      </c>
      <c r="H1" t="s">
        <v>3</v>
      </c>
      <c r="I1" s="3" t="s">
        <v>9</v>
      </c>
      <c r="J1" s="4" t="s">
        <v>7</v>
      </c>
    </row>
    <row r="2" spans="1:10" x14ac:dyDescent="0.15">
      <c r="A2" s="6" t="str">
        <f>IF(数据!B2=0,"",数据!B2)</f>
        <v>马嘶工业园光交至正威华东基站</v>
      </c>
      <c r="B2" s="1">
        <f>IF(数据!B2=0,"",数据!D2)</f>
        <v>109.4</v>
      </c>
      <c r="C2" s="1" t="str">
        <f>IF(数据!B2=0,"",数据!F2&amp;"-"&amp;数据!G2)</f>
        <v>1-24</v>
      </c>
      <c r="D2" s="5" t="str">
        <f ca="1">IF(数据!B2=0,"",数据!I2&amp;数据!$I$1&amp;数据!J2&amp;数据!$J$1&amp;数据!K2&amp;数据!$K$1&amp;数据!L2&amp;数据!$L$1&amp;数据!M2&amp;数据!$M$1)</f>
        <v>2022年11月14日14时51分</v>
      </c>
      <c r="E2" s="1">
        <f>IF(数据!B2=0,"",数据!N2)</f>
        <v>1550</v>
      </c>
      <c r="F2" s="1">
        <f>IF(数据!B2=0,"",数据!O2)</f>
        <v>0.19</v>
      </c>
      <c r="G2" t="str">
        <f>IF(数据!B2=0,"",数据!P2)</f>
        <v>是</v>
      </c>
    </row>
    <row r="3" spans="1:10" x14ac:dyDescent="0.15">
      <c r="A3" s="6" t="str">
        <f>IF(数据!B3=0,"",数据!B3)</f>
        <v>南浔世友地板基站至南浔新桥南堍光交</v>
      </c>
      <c r="B3" s="1">
        <f>IF(数据!B3=0,"",数据!D3)</f>
        <v>1171.4000000000001</v>
      </c>
      <c r="C3" s="1" t="str">
        <f>IF(数据!B3=0,"",数据!F3&amp;"-"&amp;数据!G3)</f>
        <v>1-24</v>
      </c>
      <c r="D3" s="5" t="str">
        <f ca="1">IF(数据!B3=0,"",数据!I3&amp;数据!$I$1&amp;数据!J3&amp;数据!$J$1&amp;数据!K3&amp;数据!$K$1&amp;数据!L3&amp;数据!$L$1&amp;数据!M3&amp;数据!$M$1)</f>
        <v>2022年11月15日8时36分</v>
      </c>
      <c r="E3" s="1">
        <f>IF(数据!B3=0,"",数据!N3)</f>
        <v>1550</v>
      </c>
      <c r="F3" s="1">
        <f>IF(数据!B3=0,"",数据!O3)</f>
        <v>0.19</v>
      </c>
      <c r="G3" t="str">
        <f>IF(数据!B3=0,"",数据!P3)</f>
        <v>是</v>
      </c>
    </row>
    <row r="4" spans="1:10" x14ac:dyDescent="0.15">
      <c r="A4" s="6" t="str">
        <f>IF(数据!B4=0,"",数据!B4)</f>
        <v>方家港基站至浔织路浔北路光交</v>
      </c>
      <c r="B4" s="1">
        <f>IF(数据!B4=0,"",数据!D4)</f>
        <v>1354.1</v>
      </c>
      <c r="C4" s="1" t="str">
        <f>IF(数据!B4=0,"",数据!F4&amp;"-"&amp;数据!G4)</f>
        <v>1-24</v>
      </c>
      <c r="D4" s="5" t="str">
        <f ca="1">IF(数据!B4=0,"",数据!I4&amp;数据!$I$1&amp;数据!J4&amp;数据!$J$1&amp;数据!K4&amp;数据!$K$1&amp;数据!L4&amp;数据!$L$1&amp;数据!M4&amp;数据!$M$1)</f>
        <v>2022年11月13日12时30分</v>
      </c>
      <c r="E4" s="1">
        <f>IF(数据!B4=0,"",数据!N4)</f>
        <v>1550</v>
      </c>
      <c r="F4" s="1">
        <f>IF(数据!B4=0,"",数据!O4)</f>
        <v>0.19</v>
      </c>
      <c r="G4" t="str">
        <f>IF(数据!B4=0,"",数据!P4)</f>
        <v>是</v>
      </c>
    </row>
    <row r="5" spans="1:10" x14ac:dyDescent="0.15">
      <c r="A5" s="6" t="str">
        <f>IF(数据!B5=0,"",数据!B5)</f>
        <v>朱家田新基站至铁塔菱湖南鱼鳌基站</v>
      </c>
      <c r="B5" s="1">
        <f>IF(数据!B5=0,"",数据!D5)</f>
        <v>1607.5</v>
      </c>
      <c r="C5" s="1" t="str">
        <f>IF(数据!B5=0,"",数据!F5&amp;"-"&amp;数据!G5)</f>
        <v>1-24</v>
      </c>
      <c r="D5" s="5" t="str">
        <f ca="1">IF(数据!B5=0,"",数据!I5&amp;数据!$I$1&amp;数据!J5&amp;数据!$J$1&amp;数据!K5&amp;数据!$K$1&amp;数据!L5&amp;数据!$L$1&amp;数据!M5&amp;数据!$M$1)</f>
        <v>2022年11月17日15时20分</v>
      </c>
      <c r="E5" s="1">
        <f>IF(数据!B5=0,"",数据!N5)</f>
        <v>1550</v>
      </c>
      <c r="F5" s="1">
        <f>IF(数据!B5=0,"",数据!O5)</f>
        <v>0.19</v>
      </c>
      <c r="G5" t="str">
        <f>IF(数据!B5=0,"",数据!P5)</f>
        <v>是</v>
      </c>
    </row>
    <row r="6" spans="1:10" x14ac:dyDescent="0.15">
      <c r="A6" s="6" t="str">
        <f>IF(数据!B6=0,"",数据!B6)</f>
        <v>花林农兴村基站至练市乌林浜基站</v>
      </c>
      <c r="B6" s="1">
        <f>IF(数据!B6=0,"",数据!D6)</f>
        <v>1133.2</v>
      </c>
      <c r="C6" s="1" t="str">
        <f>IF(数据!B6=0,"",数据!F6&amp;"-"&amp;数据!G6)</f>
        <v>1-24</v>
      </c>
      <c r="D6" s="5" t="str">
        <f ca="1">IF(数据!B6=0,"",数据!I6&amp;数据!$I$1&amp;数据!J6&amp;数据!$J$1&amp;数据!K6&amp;数据!$K$1&amp;数据!L6&amp;数据!$L$1&amp;数据!M6&amp;数据!$M$1)</f>
        <v>2022年11月19日9时44分</v>
      </c>
      <c r="E6" s="1">
        <f>IF(数据!B6=0,"",数据!N6)</f>
        <v>1550</v>
      </c>
      <c r="F6" s="1">
        <f>IF(数据!B6=0,"",数据!O6)</f>
        <v>0.19</v>
      </c>
      <c r="G6" t="str">
        <f>IF(数据!B6=0,"",数据!P6)</f>
        <v>是</v>
      </c>
    </row>
    <row r="7" spans="1:10" x14ac:dyDescent="0.15">
      <c r="A7" s="6" t="str">
        <f>IF(数据!B7=0,"",数据!B7)</f>
        <v>嘉业路南光交至开元名都度假区20幢楼顶搬迁基站</v>
      </c>
      <c r="B7" s="1">
        <f>IF(数据!B7=0,"",数据!D7)</f>
        <v>1017.9</v>
      </c>
      <c r="C7" s="1" t="str">
        <f>IF(数据!B7=0,"",数据!F7&amp;"-"&amp;数据!G7)</f>
        <v>1-24</v>
      </c>
      <c r="D7" s="5" t="str">
        <f ca="1">IF(数据!B7=0,"",数据!I7&amp;数据!$I$1&amp;数据!J7&amp;数据!$J$1&amp;数据!K7&amp;数据!$K$1&amp;数据!L7&amp;数据!$L$1&amp;数据!M7&amp;数据!$M$1)</f>
        <v>2022年11月15日13时11分</v>
      </c>
      <c r="E7" s="1">
        <f>IF(数据!B7=0,"",数据!N7)</f>
        <v>1550</v>
      </c>
      <c r="F7" s="1">
        <f>IF(数据!B7=0,"",数据!O7)</f>
        <v>0.19</v>
      </c>
      <c r="G7" t="str">
        <f>IF(数据!B7=0,"",数据!P7)</f>
        <v>是</v>
      </c>
    </row>
    <row r="8" spans="1:10" x14ac:dyDescent="0.15">
      <c r="A8" s="6" t="str">
        <f>IF(数据!B8=0,"",数据!B8)</f>
        <v>骏马木业基站至引下大象酒店地下室机房</v>
      </c>
      <c r="B8" s="1">
        <f>IF(数据!B8=0,"",数据!D8)</f>
        <v>1760.3999999999999</v>
      </c>
      <c r="C8" s="1" t="str">
        <f>IF(数据!B8=0,"",数据!F8&amp;"-"&amp;数据!G8)</f>
        <v>1-48</v>
      </c>
      <c r="D8" s="5" t="str">
        <f ca="1">IF(数据!B8=0,"",数据!I8&amp;数据!$I$1&amp;数据!J8&amp;数据!$J$1&amp;数据!K8&amp;数据!$K$1&amp;数据!L8&amp;数据!$L$1&amp;数据!M8&amp;数据!$M$1)</f>
        <v>2022年11月12日16时19分</v>
      </c>
      <c r="E8" s="1">
        <f>IF(数据!B8=0,"",数据!N8)</f>
        <v>1550</v>
      </c>
      <c r="F8" s="1">
        <f>IF(数据!B8=0,"",数据!O8)</f>
        <v>0.19</v>
      </c>
      <c r="G8" t="str">
        <f>IF(数据!B8=0,"",数据!P8)</f>
        <v>是</v>
      </c>
    </row>
    <row r="9" spans="1:10" x14ac:dyDescent="0.15">
      <c r="A9" s="6" t="str">
        <f>IF(数据!B9=0,"",数据!B9)</f>
        <v>菱湖竹墩岔口光交至菱湖前丘家苑基站</v>
      </c>
      <c r="B9" s="1">
        <f>IF(数据!B9=0,"",数据!D9)</f>
        <v>1460.5</v>
      </c>
      <c r="C9" s="1" t="str">
        <f>IF(数据!B9=0,"",数据!F9&amp;"-"&amp;数据!G9)</f>
        <v>1-24</v>
      </c>
      <c r="D9" s="5" t="str">
        <f ca="1">IF(数据!B9=0,"",数据!I9&amp;数据!$I$1&amp;数据!J9&amp;数据!$J$1&amp;数据!K9&amp;数据!$K$1&amp;数据!L9&amp;数据!$L$1&amp;数据!M9&amp;数据!$M$1)</f>
        <v>2022年11月17日8时30分</v>
      </c>
      <c r="E9" s="1">
        <f>IF(数据!B9=0,"",数据!N9)</f>
        <v>1550</v>
      </c>
      <c r="F9" s="1">
        <f>IF(数据!B9=0,"",数据!O9)</f>
        <v>0.19</v>
      </c>
      <c r="G9" t="str">
        <f>IF(数据!B9=0,"",数据!P9)</f>
        <v>是</v>
      </c>
    </row>
    <row r="10" spans="1:10" x14ac:dyDescent="0.15">
      <c r="A10" s="6" t="str">
        <f>IF(数据!B10=0,"",数据!B10)</f>
        <v>和孚毛东港基站至湖盐公路星光农机北光交</v>
      </c>
      <c r="B10" s="1">
        <f>IF(数据!B10=0,"",数据!D10)</f>
        <v>2304.1999999999998</v>
      </c>
      <c r="C10" s="1" t="str">
        <f>IF(数据!B10=0,"",数据!F10&amp;"-"&amp;数据!G10)</f>
        <v>1-24</v>
      </c>
      <c r="D10" s="5" t="str">
        <f ca="1">IF(数据!B10=0,"",数据!I10&amp;数据!$I$1&amp;数据!J10&amp;数据!$J$1&amp;数据!K10&amp;数据!$K$1&amp;数据!L10&amp;数据!$L$1&amp;数据!M10&amp;数据!$M$1)</f>
        <v>2022年11月14日16时28分</v>
      </c>
      <c r="E10" s="1">
        <f>IF(数据!B10=0,"",数据!N10)</f>
        <v>1550</v>
      </c>
      <c r="F10" s="1">
        <f>IF(数据!B10=0,"",数据!O10)</f>
        <v>0.19</v>
      </c>
      <c r="G10" t="str">
        <f>IF(数据!B10=0,"",数据!P10)</f>
        <v>是</v>
      </c>
    </row>
    <row r="11" spans="1:10" x14ac:dyDescent="0.15">
      <c r="A11" s="6" t="str">
        <f>IF(数据!B11=0,"",数据!B11)</f>
        <v>江蒋漾新村基站至西城路年丰路光交</v>
      </c>
      <c r="B11" s="1">
        <f>IF(数据!B11=0,"",数据!D11)</f>
        <v>556.20000000000005</v>
      </c>
      <c r="C11" s="1" t="str">
        <f>IF(数据!B11=0,"",数据!F11&amp;"-"&amp;数据!G11)</f>
        <v>1-24</v>
      </c>
      <c r="D11" s="5" t="str">
        <f ca="1">IF(数据!B11=0,"",数据!I11&amp;数据!$I$1&amp;数据!J11&amp;数据!$J$1&amp;数据!K11&amp;数据!$K$1&amp;数据!L11&amp;数据!$L$1&amp;数据!M11&amp;数据!$M$1)</f>
        <v>2022年11月19日14时28分</v>
      </c>
      <c r="E11" s="1">
        <f>IF(数据!B11=0,"",数据!N11)</f>
        <v>1550</v>
      </c>
      <c r="F11" s="1">
        <f>IF(数据!B11=0,"",数据!O11)</f>
        <v>0.19</v>
      </c>
      <c r="G11" t="str">
        <f>IF(数据!B11=0,"",数据!P11)</f>
        <v>是</v>
      </c>
    </row>
    <row r="12" spans="1:10" x14ac:dyDescent="0.15">
      <c r="A12" s="6" t="str">
        <f>IF(数据!B12=0,"",数据!B12)</f>
        <v>阳光大道与外环南路光交至玉麟府无线机房</v>
      </c>
      <c r="B12" s="1">
        <f>IF(数据!B12=0,"",数据!D12)</f>
        <v>214</v>
      </c>
      <c r="C12" s="1" t="str">
        <f>IF(数据!B12=0,"",数据!F12&amp;"-"&amp;数据!G12)</f>
        <v>1-24</v>
      </c>
      <c r="D12" s="5" t="str">
        <f ca="1">IF(数据!B12=0,"",数据!I12&amp;数据!$I$1&amp;数据!J12&amp;数据!$J$1&amp;数据!K12&amp;数据!$K$1&amp;数据!L12&amp;数据!$L$1&amp;数据!M12&amp;数据!$M$1)</f>
        <v>2022年11月16日13时10分</v>
      </c>
      <c r="E12" s="1">
        <f>IF(数据!B12=0,"",数据!N12)</f>
        <v>1550</v>
      </c>
      <c r="F12" s="1">
        <f>IF(数据!B12=0,"",数据!O12)</f>
        <v>0.19</v>
      </c>
      <c r="G12" t="str">
        <f>IF(数据!B12=0,"",数据!P12)</f>
        <v>是</v>
      </c>
    </row>
    <row r="13" spans="1:10" x14ac:dyDescent="0.15">
      <c r="A13" s="6" t="str">
        <f>IF(数据!B13=0,"",数据!B13)</f>
        <v>玉麟府无线机房至玉麟府有线机房</v>
      </c>
      <c r="B13" s="1">
        <f>IF(数据!B13=0,"",数据!D13)</f>
        <v>38.5</v>
      </c>
      <c r="C13" s="1" t="str">
        <f>IF(数据!B13=0,"",数据!F13&amp;"-"&amp;数据!G13)</f>
        <v>1-24</v>
      </c>
      <c r="D13" s="5" t="str">
        <f ca="1">IF(数据!B13=0,"",数据!I13&amp;数据!$I$1&amp;数据!J13&amp;数据!$J$1&amp;数据!K13&amp;数据!$K$1&amp;数据!L13&amp;数据!$L$1&amp;数据!M13&amp;数据!$M$1)</f>
        <v>2022年11月18日10时19分</v>
      </c>
      <c r="E13" s="1">
        <f>IF(数据!B13=0,"",数据!N13)</f>
        <v>1550</v>
      </c>
      <c r="F13" s="1">
        <f>IF(数据!B13=0,"",数据!O13)</f>
        <v>0.19</v>
      </c>
      <c r="G13" t="str">
        <f>IF(数据!B13=0,"",数据!P13)</f>
        <v>是</v>
      </c>
    </row>
    <row r="14" spans="1:10" x14ac:dyDescent="0.15">
      <c r="A14" s="6" t="str">
        <f>IF(数据!B14=0,"",数据!B14)</f>
        <v>风顺路新安路光交至铁塔孔雀城四期基站</v>
      </c>
      <c r="B14" s="1">
        <f>IF(数据!B14=0,"",数据!D14)</f>
        <v>405.2</v>
      </c>
      <c r="C14" s="1" t="str">
        <f>IF(数据!B14=0,"",数据!F14&amp;"-"&amp;数据!G14)</f>
        <v>1-24</v>
      </c>
      <c r="D14" s="5" t="str">
        <f ca="1">IF(数据!B14=0,"",数据!I14&amp;数据!$I$1&amp;数据!J14&amp;数据!$J$1&amp;数据!K14&amp;数据!$K$1&amp;数据!L14&amp;数据!$L$1&amp;数据!M14&amp;数据!$M$1)</f>
        <v>2022年11月15日14时54分</v>
      </c>
      <c r="E14" s="1">
        <f>IF(数据!B14=0,"",数据!N14)</f>
        <v>1550</v>
      </c>
      <c r="F14" s="1">
        <f>IF(数据!B14=0,"",数据!O14)</f>
        <v>0.19</v>
      </c>
      <c r="G14" t="str">
        <f>IF(数据!B14=0,"",数据!P14)</f>
        <v>是</v>
      </c>
    </row>
    <row r="15" spans="1:10" x14ac:dyDescent="0.15">
      <c r="A15" s="6" t="str">
        <f>IF(数据!B15=0,"",数据!B15)</f>
        <v>蝶来大酒店地下室机房光交至蝶来大酒店A1幢B1F弱电间</v>
      </c>
      <c r="B15" s="1">
        <f>IF(数据!B15=0,"",数据!D15)</f>
        <v>240.1</v>
      </c>
      <c r="C15" s="1" t="str">
        <f>IF(数据!B15=0,"",数据!F15&amp;"-"&amp;数据!G15)</f>
        <v>1-24</v>
      </c>
      <c r="D15" s="5" t="str">
        <f ca="1">IF(数据!B15=0,"",数据!I15&amp;数据!$I$1&amp;数据!J15&amp;数据!$J$1&amp;数据!K15&amp;数据!$K$1&amp;数据!L15&amp;数据!$L$1&amp;数据!M15&amp;数据!$M$1)</f>
        <v>2022年11月12日12时45分</v>
      </c>
      <c r="E15" s="1">
        <f>IF(数据!B15=0,"",数据!N15)</f>
        <v>1550</v>
      </c>
      <c r="F15" s="1">
        <f>IF(数据!B15=0,"",数据!O15)</f>
        <v>0.19</v>
      </c>
      <c r="G15" t="str">
        <f>IF(数据!B15=0,"",数据!P15)</f>
        <v>是</v>
      </c>
    </row>
    <row r="16" spans="1:10" x14ac:dyDescent="0.15">
      <c r="A16" s="6" t="str">
        <f>IF(数据!B16=0,"",数据!B16)</f>
        <v>蝶来大酒店A1幢B1F弱电间至蝶来大酒店A2幢B1F弱电间</v>
      </c>
      <c r="B16" s="1">
        <f>IF(数据!B16=0,"",数据!D16)</f>
        <v>241</v>
      </c>
      <c r="C16" s="1" t="str">
        <f>IF(数据!B16=0,"",数据!F16&amp;"-"&amp;数据!G16)</f>
        <v>1-24</v>
      </c>
      <c r="D16" s="5" t="str">
        <f ca="1">IF(数据!B16=0,"",数据!I16&amp;数据!$I$1&amp;数据!J16&amp;数据!$J$1&amp;数据!K16&amp;数据!$K$1&amp;数据!L16&amp;数据!$L$1&amp;数据!M16&amp;数据!$M$1)</f>
        <v>2022年11月15日12时35分</v>
      </c>
      <c r="E16" s="1">
        <f>IF(数据!B16=0,"",数据!N16)</f>
        <v>1550</v>
      </c>
      <c r="F16" s="1">
        <f>IF(数据!B16=0,"",数据!O16)</f>
        <v>0.19</v>
      </c>
      <c r="G16" t="str">
        <f>IF(数据!B16=0,"",数据!P16)</f>
        <v>是</v>
      </c>
    </row>
    <row r="17" spans="1:7" x14ac:dyDescent="0.15">
      <c r="A17" s="6" t="str">
        <f>IF(数据!B17=0,"",数据!B17)</f>
        <v>蝶来大酒店A1幢B1F弱电间至蝶来大酒店A2幢15F弱电间</v>
      </c>
      <c r="B17" s="1">
        <f>IF(数据!B17=0,"",数据!D17)</f>
        <v>288</v>
      </c>
      <c r="C17" s="1" t="str">
        <f>IF(数据!B17=0,"",数据!F17&amp;"-"&amp;数据!G17)</f>
        <v>1-24</v>
      </c>
      <c r="D17" s="5" t="str">
        <f ca="1">IF(数据!B17=0,"",数据!I17&amp;数据!$I$1&amp;数据!J17&amp;数据!$J$1&amp;数据!K17&amp;数据!$K$1&amp;数据!L17&amp;数据!$L$1&amp;数据!M17&amp;数据!$M$1)</f>
        <v>2022年11月18日13时2分</v>
      </c>
      <c r="E17" s="1">
        <f>IF(数据!B17=0,"",数据!N17)</f>
        <v>1550</v>
      </c>
      <c r="F17" s="1">
        <f>IF(数据!B17=0,"",数据!O17)</f>
        <v>0.19</v>
      </c>
      <c r="G17" t="str">
        <f>IF(数据!B17=0,"",数据!P17)</f>
        <v>是</v>
      </c>
    </row>
    <row r="18" spans="1:7" x14ac:dyDescent="0.15">
      <c r="A18" s="6" t="str">
        <f>IF(数据!B18=0,"",数据!B18)</f>
        <v>联谊路直港路光交至铁塔新安社区东基站</v>
      </c>
      <c r="B18" s="1">
        <f>IF(数据!B18=0,"",数据!D18)</f>
        <v>132.30000000000001</v>
      </c>
      <c r="C18" s="1" t="str">
        <f>IF(数据!B18=0,"",数据!F18&amp;"-"&amp;数据!G18)</f>
        <v>1-24</v>
      </c>
      <c r="D18" s="5" t="str">
        <f ca="1">IF(数据!B18=0,"",数据!I18&amp;数据!$I$1&amp;数据!J18&amp;数据!$J$1&amp;数据!K18&amp;数据!$K$1&amp;数据!L18&amp;数据!$L$1&amp;数据!M18&amp;数据!$M$1)</f>
        <v>2022年11月13日11时29分</v>
      </c>
      <c r="E18" s="1">
        <f>IF(数据!B18=0,"",数据!N18)</f>
        <v>1550</v>
      </c>
      <c r="F18" s="1">
        <f>IF(数据!B18=0,"",数据!O18)</f>
        <v>0.19</v>
      </c>
      <c r="G18" t="str">
        <f>IF(数据!B18=0,"",数据!P18)</f>
        <v>是</v>
      </c>
    </row>
    <row r="19" spans="1:7" x14ac:dyDescent="0.15">
      <c r="A19" s="6" t="str">
        <f>IF(数据!B19=0,"",数据!B19)</f>
        <v>漾南新村光交至铁塔漾南C区8幢基站</v>
      </c>
      <c r="B19" s="1">
        <f>IF(数据!B19=0,"",数据!D19)</f>
        <v>1126.9000000000001</v>
      </c>
      <c r="C19" s="1" t="str">
        <f>IF(数据!B19=0,"",数据!F19&amp;"-"&amp;数据!G19)</f>
        <v>1-24</v>
      </c>
      <c r="D19" s="5" t="str">
        <f ca="1">IF(数据!B19=0,"",数据!I19&amp;数据!$I$1&amp;数据!J19&amp;数据!$J$1&amp;数据!K19&amp;数据!$K$1&amp;数据!L19&amp;数据!$L$1&amp;数据!M19&amp;数据!$M$1)</f>
        <v>2022年11月11日13时14分</v>
      </c>
      <c r="E19" s="1">
        <f>IF(数据!B19=0,"",数据!N19)</f>
        <v>1550</v>
      </c>
      <c r="F19" s="1">
        <f>IF(数据!B19=0,"",数据!O19)</f>
        <v>0.19</v>
      </c>
      <c r="G19" t="str">
        <f>IF(数据!B19=0,"",数据!P19)</f>
        <v>是</v>
      </c>
    </row>
    <row r="20" spans="1:7" x14ac:dyDescent="0.15">
      <c r="A20" s="6" t="str">
        <f>IF(数据!B20=0,"",数据!B20)</f>
        <v>菱湖竹墩污水泵站至铁塔通途桥梁构件公司基站</v>
      </c>
      <c r="B20" s="1">
        <f>IF(数据!B20=0,"",数据!D20)</f>
        <v>1107.2</v>
      </c>
      <c r="C20" s="1" t="str">
        <f>IF(数据!B20=0,"",数据!F20&amp;"-"&amp;数据!G20)</f>
        <v>1-24</v>
      </c>
      <c r="D20" s="5" t="str">
        <f ca="1">IF(数据!B20=0,"",数据!I20&amp;数据!$I$1&amp;数据!J20&amp;数据!$J$1&amp;数据!K20&amp;数据!$K$1&amp;数据!L20&amp;数据!$L$1&amp;数据!M20&amp;数据!$M$1)</f>
        <v>2022年11月19日15时32分</v>
      </c>
      <c r="E20" s="1">
        <f>IF(数据!B20=0,"",数据!N20)</f>
        <v>1550</v>
      </c>
      <c r="F20" s="1">
        <f>IF(数据!B20=0,"",数据!O20)</f>
        <v>0.19</v>
      </c>
      <c r="G20" t="str">
        <f>IF(数据!B20=0,"",数据!P20)</f>
        <v>是</v>
      </c>
    </row>
    <row r="21" spans="1:7" x14ac:dyDescent="0.15">
      <c r="A21" s="6" t="str">
        <f>IF(数据!B21=0,"",数据!B21)</f>
        <v>章家角基站至千金北基站</v>
      </c>
      <c r="B21" s="1">
        <f>IF(数据!B21=0,"",数据!D21)</f>
        <v>2366.6</v>
      </c>
      <c r="C21" s="1" t="str">
        <f>IF(数据!B21=0,"",数据!F21&amp;"-"&amp;数据!G21)</f>
        <v>1-24</v>
      </c>
      <c r="D21" s="5" t="str">
        <f ca="1">IF(数据!B21=0,"",数据!I21&amp;数据!$I$1&amp;数据!J21&amp;数据!$J$1&amp;数据!K21&amp;数据!$K$1&amp;数据!L21&amp;数据!$L$1&amp;数据!M21&amp;数据!$M$1)</f>
        <v>2022年11月11日12时29分</v>
      </c>
      <c r="E21" s="1">
        <f>IF(数据!B21=0,"",数据!N21)</f>
        <v>1550</v>
      </c>
      <c r="F21" s="1">
        <f>IF(数据!B21=0,"",数据!O21)</f>
        <v>0.19</v>
      </c>
      <c r="G21" t="str">
        <f>IF(数据!B21=0,"",数据!P21)</f>
        <v>是</v>
      </c>
    </row>
    <row r="22" spans="1:7" x14ac:dyDescent="0.15">
      <c r="A22" s="6" t="str">
        <f>IF(数据!B22=0,"",数据!B22)</f>
        <v>年丰路南林路光交至山水大酒店地下室弱电间新建分纤箱</v>
      </c>
      <c r="B22" s="1">
        <f>IF(数据!B22=0,"",数据!D22)</f>
        <v>750.2</v>
      </c>
      <c r="C22" s="1" t="str">
        <f>IF(数据!B22=0,"",数据!F22&amp;"-"&amp;数据!G22)</f>
        <v>1-24</v>
      </c>
      <c r="D22" s="5" t="str">
        <f ca="1">IF(数据!B22=0,"",数据!I22&amp;数据!$I$1&amp;数据!J22&amp;数据!$J$1&amp;数据!K22&amp;数据!$K$1&amp;数据!L22&amp;数据!$L$1&amp;数据!M22&amp;数据!$M$1)</f>
        <v>2022年11月17日9时49分</v>
      </c>
      <c r="E22" s="1">
        <f>IF(数据!B22=0,"",数据!N22)</f>
        <v>1550</v>
      </c>
      <c r="F22" s="1">
        <f>IF(数据!B22=0,"",数据!O22)</f>
        <v>0.19</v>
      </c>
      <c r="G22" t="str">
        <f>IF(数据!B22=0,"",数据!P22)</f>
        <v>是</v>
      </c>
    </row>
    <row r="23" spans="1:7" x14ac:dyDescent="0.15">
      <c r="A23" s="6" t="str">
        <f>IF(数据!B23=0,"",数据!B23)</f>
        <v>李家河基站至浔北路浔织路光交</v>
      </c>
      <c r="B23" s="1">
        <f>IF(数据!B23=0,"",数据!D23)</f>
        <v>852.5</v>
      </c>
      <c r="C23" s="1" t="str">
        <f>IF(数据!B23=0,"",数据!F23&amp;"-"&amp;数据!G23)</f>
        <v>1-24</v>
      </c>
      <c r="D23" s="5" t="str">
        <f ca="1">IF(数据!B23=0,"",数据!I23&amp;数据!$I$1&amp;数据!J23&amp;数据!$J$1&amp;数据!K23&amp;数据!$K$1&amp;数据!L23&amp;数据!$L$1&amp;数据!M23&amp;数据!$M$1)</f>
        <v>2022年11月11日8时7分</v>
      </c>
      <c r="E23" s="1">
        <f>IF(数据!B23=0,"",数据!N23)</f>
        <v>1550</v>
      </c>
      <c r="F23" s="1">
        <f>IF(数据!B23=0,"",数据!O23)</f>
        <v>0.19</v>
      </c>
      <c r="G23" t="str">
        <f>IF(数据!B23=0,"",数据!P23)</f>
        <v>是</v>
      </c>
    </row>
    <row r="24" spans="1:7" s="17" customFormat="1" x14ac:dyDescent="0.15">
      <c r="A24" s="6" t="str">
        <f>IF(数据!B24=0,"",数据!B24)</f>
        <v>双林基站至维多利大道倪家滩光交</v>
      </c>
      <c r="B24" s="1">
        <f>IF(数据!B24=0,"",数据!D24)</f>
        <v>323.5</v>
      </c>
      <c r="C24" s="1" t="str">
        <f>IF(数据!B24=0,"",数据!F24&amp;"-"&amp;数据!G24)</f>
        <v>1-24</v>
      </c>
      <c r="D24" s="5" t="str">
        <f ca="1">IF(数据!B24=0,"",数据!I24&amp;数据!$I$1&amp;数据!J24&amp;数据!$J$1&amp;数据!K24&amp;数据!$K$1&amp;数据!L24&amp;数据!$L$1&amp;数据!M24&amp;数据!$M$1)</f>
        <v>2022年11月18日7时49分</v>
      </c>
      <c r="E24" s="1">
        <f>IF(数据!B24=0,"",数据!N24)</f>
        <v>1550</v>
      </c>
      <c r="F24" s="1">
        <f>IF(数据!B24=0,"",数据!O24)</f>
        <v>0.19</v>
      </c>
      <c r="G24" t="str">
        <f>IF(数据!B24=0,"",数据!P24)</f>
        <v>是</v>
      </c>
    </row>
    <row r="25" spans="1:7" x14ac:dyDescent="0.15">
      <c r="A25" s="6" t="str">
        <f>IF(数据!B25=0,"",数据!B25)</f>
        <v>年丰路西城路光交至翘楚棠小区14栋地下室传输机房</v>
      </c>
      <c r="B25" s="1">
        <f>IF(数据!B25=0,"",数据!D25)</f>
        <v>991.6</v>
      </c>
      <c r="C25" s="1" t="str">
        <f>IF(数据!B25=0,"",数据!F25&amp;"-"&amp;数据!G25)</f>
        <v>1-24</v>
      </c>
      <c r="D25" s="5" t="str">
        <f ca="1">IF(数据!B25=0,"",数据!I25&amp;数据!$I$1&amp;数据!J25&amp;数据!$J$1&amp;数据!K25&amp;数据!$K$1&amp;数据!L25&amp;数据!$L$1&amp;数据!M25&amp;数据!$M$1)</f>
        <v>2022年11月13日7时27分</v>
      </c>
      <c r="E25" s="1">
        <f>IF(数据!B25=0,"",数据!N25)</f>
        <v>1550</v>
      </c>
      <c r="F25" s="1">
        <f>IF(数据!B25=0,"",数据!O25)</f>
        <v>0.19</v>
      </c>
      <c r="G25" t="str">
        <f>IF(数据!B25=0,"",数据!P25)</f>
        <v>是</v>
      </c>
    </row>
    <row r="26" spans="1:7" x14ac:dyDescent="0.15">
      <c r="A26" s="6" t="str">
        <f>IF(数据!B26=0,"",数据!B26)</f>
        <v>翘楚棠小区14栋地下室传输机房至翘楚棠小区地下室无线机房</v>
      </c>
      <c r="B26" s="1">
        <f>IF(数据!B26=0,"",数据!D26)</f>
        <v>16.100000000000001</v>
      </c>
      <c r="C26" s="1" t="str">
        <f>IF(数据!B26=0,"",数据!F26&amp;"-"&amp;数据!G26)</f>
        <v>1-24</v>
      </c>
      <c r="D26" s="5" t="str">
        <f ca="1">IF(数据!B26=0,"",数据!I26&amp;数据!$I$1&amp;数据!J26&amp;数据!$J$1&amp;数据!K26&amp;数据!$K$1&amp;数据!L26&amp;数据!$L$1&amp;数据!M26&amp;数据!$M$1)</f>
        <v>2022年11月12日17时6分</v>
      </c>
      <c r="E26" s="1">
        <f>IF(数据!B26=0,"",数据!N26)</f>
        <v>1550</v>
      </c>
      <c r="F26" s="1">
        <f>IF(数据!B26=0,"",数据!O26)</f>
        <v>0.19</v>
      </c>
      <c r="G26" t="str">
        <f>IF(数据!B26=0,"",数据!P26)</f>
        <v>是</v>
      </c>
    </row>
    <row r="27" spans="1:7" x14ac:dyDescent="0.15">
      <c r="A27" s="6" t="str">
        <f>IF(数据!B27=0,"",数据!B27)</f>
        <v>风顺路人瑞路光交至嘉都广场有线机房</v>
      </c>
      <c r="B27" s="1">
        <f>IF(数据!B27=0,"",数据!D27)</f>
        <v>329.2</v>
      </c>
      <c r="C27" s="1" t="str">
        <f>IF(数据!B27=0,"",数据!F27&amp;"-"&amp;数据!G27)</f>
        <v>1-24</v>
      </c>
      <c r="D27" s="5" t="str">
        <f ca="1">IF(数据!B27=0,"",数据!I27&amp;数据!$I$1&amp;数据!J27&amp;数据!$J$1&amp;数据!K27&amp;数据!$K$1&amp;数据!L27&amp;数据!$L$1&amp;数据!M27&amp;数据!$M$1)</f>
        <v>2022年11月13日9时18分</v>
      </c>
      <c r="E27" s="1">
        <f>IF(数据!B27=0,"",数据!N27)</f>
        <v>1550</v>
      </c>
      <c r="F27" s="1">
        <f>IF(数据!B27=0,"",数据!O27)</f>
        <v>0.19</v>
      </c>
      <c r="G27" t="str">
        <f>IF(数据!B27=0,"",数据!P27)</f>
        <v>是</v>
      </c>
    </row>
    <row r="28" spans="1:7" x14ac:dyDescent="0.15">
      <c r="A28" s="6" t="str">
        <f>IF(数据!B28=0,"",数据!B28)</f>
        <v>嘉都广场有线机房至嘉都广场无线机房</v>
      </c>
      <c r="B28" s="1">
        <f>IF(数据!B28=0,"",数据!D28)</f>
        <v>45.5</v>
      </c>
      <c r="C28" s="1" t="str">
        <f>IF(数据!B28=0,"",数据!F28&amp;"-"&amp;数据!G28)</f>
        <v>1-24</v>
      </c>
      <c r="D28" s="5" t="str">
        <f ca="1">IF(数据!B28=0,"",数据!I28&amp;数据!$I$1&amp;数据!J28&amp;数据!$J$1&amp;数据!K28&amp;数据!$K$1&amp;数据!L28&amp;数据!$L$1&amp;数据!M28&amp;数据!$M$1)</f>
        <v>2022年11月18日10时53分</v>
      </c>
      <c r="E28" s="1">
        <f>IF(数据!B28=0,"",数据!N28)</f>
        <v>1550</v>
      </c>
      <c r="F28" s="1">
        <f>IF(数据!B28=0,"",数据!O28)</f>
        <v>0.19</v>
      </c>
      <c r="G28" t="str">
        <f>IF(数据!B28=0,"",数据!P28)</f>
        <v>是</v>
      </c>
    </row>
    <row r="29" spans="1:7" x14ac:dyDescent="0.15">
      <c r="A29" s="6" t="str">
        <f>IF(数据!B29=0,"",数据!B29)</f>
        <v>嘉都广场有线机房至嘉都广场5#楼9F</v>
      </c>
      <c r="B29" s="1">
        <f>IF(数据!B29=0,"",数据!D29)</f>
        <v>235.7</v>
      </c>
      <c r="C29" s="1" t="str">
        <f>IF(数据!B29=0,"",数据!F29&amp;"-"&amp;数据!G29)</f>
        <v>1-24</v>
      </c>
      <c r="D29" s="5" t="str">
        <f ca="1">IF(数据!B29=0,"",数据!I29&amp;数据!$I$1&amp;数据!J29&amp;数据!$J$1&amp;数据!K29&amp;数据!$K$1&amp;数据!L29&amp;数据!$L$1&amp;数据!M29&amp;数据!$M$1)</f>
        <v>2022年11月18日14时37分</v>
      </c>
      <c r="E29" s="1">
        <f>IF(数据!B29=0,"",数据!N29)</f>
        <v>1550</v>
      </c>
      <c r="F29" s="1">
        <f>IF(数据!B29=0,"",数据!O29)</f>
        <v>0.19</v>
      </c>
      <c r="G29" t="str">
        <f>IF(数据!B29=0,"",数据!P29)</f>
        <v>是</v>
      </c>
    </row>
    <row r="30" spans="1:7" x14ac:dyDescent="0.15">
      <c r="A30" s="6" t="str">
        <f>IF(数据!B30=0,"",数据!B30)</f>
        <v>嘉都广场有线机房至嘉都广场3#楼2F</v>
      </c>
      <c r="B30" s="1">
        <f>IF(数据!B30=0,"",数据!D30)</f>
        <v>201.3</v>
      </c>
      <c r="C30" s="1" t="str">
        <f>IF(数据!B30=0,"",数据!F30&amp;"-"&amp;数据!G30)</f>
        <v>1-24</v>
      </c>
      <c r="D30" s="5" t="str">
        <f ca="1">IF(数据!B30=0,"",数据!I30&amp;数据!$I$1&amp;数据!J30&amp;数据!$J$1&amp;数据!K30&amp;数据!$K$1&amp;数据!L30&amp;数据!$L$1&amp;数据!M30&amp;数据!$M$1)</f>
        <v>2022年11月12日11时20分</v>
      </c>
      <c r="E30" s="1">
        <f>IF(数据!B30=0,"",数据!N30)</f>
        <v>1550</v>
      </c>
      <c r="F30" s="1">
        <f>IF(数据!B30=0,"",数据!O30)</f>
        <v>0.19</v>
      </c>
      <c r="G30" t="str">
        <f>IF(数据!B30=0,"",数据!P30)</f>
        <v>是</v>
      </c>
    </row>
    <row r="31" spans="1:7" s="17" customFormat="1" x14ac:dyDescent="0.15">
      <c r="A31" s="6" t="str">
        <f>IF(数据!B31=0,"",数据!B31)</f>
        <v>嘉都广场有线机房至嘉都广场2#楼6F</v>
      </c>
      <c r="B31" s="1">
        <f>IF(数据!B31=0,"",数据!D31)</f>
        <v>210.7</v>
      </c>
      <c r="C31" s="1" t="str">
        <f>IF(数据!B31=0,"",数据!F31&amp;"-"&amp;数据!G31)</f>
        <v>1-24</v>
      </c>
      <c r="D31" s="5" t="str">
        <f ca="1">IF(数据!B31=0,"",数据!I31&amp;数据!$I$1&amp;数据!J31&amp;数据!$J$1&amp;数据!K31&amp;数据!$K$1&amp;数据!L31&amp;数据!$L$1&amp;数据!M31&amp;数据!$M$1)</f>
        <v>2022年11月14日9时14分</v>
      </c>
      <c r="E31" s="1">
        <f>IF(数据!B31=0,"",数据!N31)</f>
        <v>1550</v>
      </c>
      <c r="F31" s="1">
        <f>IF(数据!B31=0,"",数据!O31)</f>
        <v>0.19</v>
      </c>
      <c r="G31" t="str">
        <f>IF(数据!B31=0,"",数据!P31)</f>
        <v>是</v>
      </c>
    </row>
    <row r="32" spans="1:7" x14ac:dyDescent="0.15">
      <c r="A32" s="6" t="str">
        <f>IF(数据!B32=0,"",数据!B32)</f>
        <v>嘉都广场有线机房至嘉都广场1#楼1F</v>
      </c>
      <c r="B32" s="1">
        <f>IF(数据!B32=0,"",数据!D32)</f>
        <v>232.1</v>
      </c>
      <c r="C32" s="1" t="str">
        <f>IF(数据!B32=0,"",数据!F32&amp;"-"&amp;数据!G32)</f>
        <v>1-24</v>
      </c>
      <c r="D32" s="5" t="str">
        <f ca="1">IF(数据!B32=0,"",数据!I32&amp;数据!$I$1&amp;数据!J32&amp;数据!$J$1&amp;数据!K32&amp;数据!$K$1&amp;数据!L32&amp;数据!$L$1&amp;数据!M32&amp;数据!$M$1)</f>
        <v>2022年11月19日16时25分</v>
      </c>
      <c r="E32" s="1">
        <f>IF(数据!B32=0,"",数据!N32)</f>
        <v>1550</v>
      </c>
      <c r="F32" s="1">
        <f>IF(数据!B32=0,"",数据!O32)</f>
        <v>0.19</v>
      </c>
      <c r="G32" t="str">
        <f>IF(数据!B32=0,"",数据!P32)</f>
        <v>是</v>
      </c>
    </row>
    <row r="33" spans="1:7" x14ac:dyDescent="0.15">
      <c r="A33" s="6" t="str">
        <f>IF(数据!B33=0,"",数据!B33)</f>
        <v>贝尚湾一期消控机房至贝尚湾一期7幢配电间</v>
      </c>
      <c r="B33" s="1">
        <f>IF(数据!B33=0,"",数据!D33)</f>
        <v>452.3</v>
      </c>
      <c r="C33" s="1" t="str">
        <f>IF(数据!B33=0,"",数据!F33&amp;"-"&amp;数据!G33)</f>
        <v>1-24</v>
      </c>
      <c r="D33" s="5" t="str">
        <f ca="1">IF(数据!B33=0,"",数据!I33&amp;数据!$I$1&amp;数据!J33&amp;数据!$J$1&amp;数据!K33&amp;数据!$K$1&amp;数据!L33&amp;数据!$L$1&amp;数据!M33&amp;数据!$M$1)</f>
        <v>2022年11月18日13时30分</v>
      </c>
      <c r="E33" s="1">
        <f>IF(数据!B33=0,"",数据!N33)</f>
        <v>1550</v>
      </c>
      <c r="F33" s="1">
        <f>IF(数据!B33=0,"",数据!O33)</f>
        <v>0.19</v>
      </c>
      <c r="G33" t="str">
        <f>IF(数据!B33=0,"",数据!P33)</f>
        <v>是</v>
      </c>
    </row>
    <row r="34" spans="1:7" x14ac:dyDescent="0.15">
      <c r="A34" s="6" t="str">
        <f>IF(数据!B34=0,"",数据!B34)</f>
        <v>贝尚湾一期7幢配电间至贝尚湾一期3幢配电间</v>
      </c>
      <c r="B34" s="1">
        <f>IF(数据!B34=0,"",数据!D34)</f>
        <v>229.1</v>
      </c>
      <c r="C34" s="1" t="str">
        <f>IF(数据!B34=0,"",数据!F34&amp;"-"&amp;数据!G34)</f>
        <v>1-24</v>
      </c>
      <c r="D34" s="5" t="str">
        <f ca="1">IF(数据!B34=0,"",数据!I34&amp;数据!$I$1&amp;数据!J34&amp;数据!$J$1&amp;数据!K34&amp;数据!$K$1&amp;数据!L34&amp;数据!$L$1&amp;数据!M34&amp;数据!$M$1)</f>
        <v>2022年11月13日14时2分</v>
      </c>
      <c r="E34" s="1">
        <f>IF(数据!B34=0,"",数据!N34)</f>
        <v>1550</v>
      </c>
      <c r="F34" s="1">
        <f>IF(数据!B34=0,"",数据!O34)</f>
        <v>0.19</v>
      </c>
      <c r="G34" t="str">
        <f>IF(数据!B34=0,"",数据!P34)</f>
        <v>是</v>
      </c>
    </row>
    <row r="35" spans="1:7" x14ac:dyDescent="0.15">
      <c r="A35" s="6" t="str">
        <f>IF(数据!B35=0,"",数据!B35)</f>
        <v>贝尚湾一期消控机房至贝尚湾一期12幢配电间</v>
      </c>
      <c r="B35" s="1">
        <f>IF(数据!B35=0,"",数据!D35)</f>
        <v>338.4</v>
      </c>
      <c r="C35" s="1" t="str">
        <f>IF(数据!B35=0,"",数据!F35&amp;"-"&amp;数据!G35)</f>
        <v>1-24</v>
      </c>
      <c r="D35" s="5" t="str">
        <f ca="1">IF(数据!B35=0,"",数据!I35&amp;数据!$I$1&amp;数据!J35&amp;数据!$J$1&amp;数据!K35&amp;数据!$K$1&amp;数据!L35&amp;数据!$L$1&amp;数据!M35&amp;数据!$M$1)</f>
        <v>2022年11月18日11时29分</v>
      </c>
      <c r="E35" s="1">
        <f>IF(数据!B35=0,"",数据!N35)</f>
        <v>1550</v>
      </c>
      <c r="F35" s="1">
        <f>IF(数据!B35=0,"",数据!O35)</f>
        <v>0.19</v>
      </c>
      <c r="G35" t="str">
        <f>IF(数据!B35=0,"",数据!P35)</f>
        <v>是</v>
      </c>
    </row>
    <row r="36" spans="1:7" x14ac:dyDescent="0.15">
      <c r="A36" s="6" t="str">
        <f>IF(数据!B36=0,"",数据!B36)</f>
        <v>贝尚湾一期12幢配电间至贝尚湾一期26幢配电间</v>
      </c>
      <c r="B36" s="1">
        <f>IF(数据!B36=0,"",数据!D36)</f>
        <v>289.10000000000002</v>
      </c>
      <c r="C36" s="1" t="str">
        <f>IF(数据!B36=0,"",数据!F36&amp;"-"&amp;数据!G36)</f>
        <v>1-24</v>
      </c>
      <c r="D36" s="5" t="str">
        <f ca="1">IF(数据!B36=0,"",数据!I36&amp;数据!$I$1&amp;数据!J36&amp;数据!$J$1&amp;数据!K36&amp;数据!$K$1&amp;数据!L36&amp;数据!$L$1&amp;数据!M36&amp;数据!$M$1)</f>
        <v>2022年11月12日14时6分</v>
      </c>
      <c r="E36" s="1">
        <f>IF(数据!B36=0,"",数据!N36)</f>
        <v>1550</v>
      </c>
      <c r="F36" s="1">
        <f>IF(数据!B36=0,"",数据!O36)</f>
        <v>0.19</v>
      </c>
      <c r="G36" t="str">
        <f>IF(数据!B36=0,"",数据!P36)</f>
        <v>是</v>
      </c>
    </row>
    <row r="37" spans="1:7" x14ac:dyDescent="0.15">
      <c r="A37" s="6" t="str">
        <f>IF(数据!B37=0,"",数据!B37)</f>
        <v>贝尚湾一期消控机房至贝尚湾一期综合楼-1F设备间</v>
      </c>
      <c r="B37" s="1">
        <f>IF(数据!B37=0,"",数据!D37)</f>
        <v>47</v>
      </c>
      <c r="C37" s="1" t="str">
        <f>IF(数据!B37=0,"",数据!F37&amp;"-"&amp;数据!G37)</f>
        <v>1-24</v>
      </c>
      <c r="D37" s="5" t="str">
        <f ca="1">IF(数据!B37=0,"",数据!I37&amp;数据!$I$1&amp;数据!J37&amp;数据!$J$1&amp;数据!K37&amp;数据!$K$1&amp;数据!L37&amp;数据!$L$1&amp;数据!M37&amp;数据!$M$1)</f>
        <v>2022年11月11日11时34分</v>
      </c>
      <c r="E37" s="1">
        <f>IF(数据!B37=0,"",数据!N37)</f>
        <v>1550</v>
      </c>
      <c r="F37" s="1">
        <f>IF(数据!B37=0,"",数据!O37)</f>
        <v>0.19</v>
      </c>
      <c r="G37" t="str">
        <f>IF(数据!B37=0,"",数据!P37)</f>
        <v>是</v>
      </c>
    </row>
    <row r="38" spans="1:7" x14ac:dyDescent="0.15">
      <c r="A38" s="6" t="str">
        <f>IF(数据!B38=0,"",数据!B38)</f>
        <v>草船兜基站至直港新村59幢</v>
      </c>
      <c r="B38" s="1">
        <f>IF(数据!B38=0,"",数据!D38)</f>
        <v>2637.4</v>
      </c>
      <c r="C38" s="1" t="str">
        <f>IF(数据!B38=0,"",数据!F38&amp;"-"&amp;数据!G38)</f>
        <v>1-24</v>
      </c>
      <c r="D38" s="5" t="str">
        <f ca="1">IF(数据!B38=0,"",数据!I38&amp;数据!$I$1&amp;数据!J38&amp;数据!$J$1&amp;数据!K38&amp;数据!$K$1&amp;数据!L38&amp;数据!$L$1&amp;数据!M38&amp;数据!$M$1)</f>
        <v>2022年11月16日11时12分</v>
      </c>
      <c r="E38" s="1">
        <f>IF(数据!B38=0,"",数据!N38)</f>
        <v>1550</v>
      </c>
      <c r="F38" s="1">
        <f>IF(数据!B38=0,"",数据!O38)</f>
        <v>0.19</v>
      </c>
      <c r="G38" t="str">
        <f>IF(数据!B38=0,"",数据!P38)</f>
        <v>是</v>
      </c>
    </row>
    <row r="39" spans="1:7" x14ac:dyDescent="0.15">
      <c r="A39" s="6" t="str">
        <f>IF(数据!B39=0,"",数据!B39)</f>
        <v>直港新村59幢至直港新村88幢</v>
      </c>
      <c r="B39" s="1">
        <f>IF(数据!B39=0,"",数据!D39)</f>
        <v>438.7</v>
      </c>
      <c r="C39" s="1" t="str">
        <f>IF(数据!B39=0,"",数据!F39&amp;"-"&amp;数据!G39)</f>
        <v>1-24</v>
      </c>
      <c r="D39" s="5" t="str">
        <f ca="1">IF(数据!B39=0,"",数据!I39&amp;数据!$I$1&amp;数据!J39&amp;数据!$J$1&amp;数据!K39&amp;数据!$K$1&amp;数据!L39&amp;数据!$L$1&amp;数据!M39&amp;数据!$M$1)</f>
        <v>2022年11月15日9时37分</v>
      </c>
      <c r="E39" s="1">
        <f>IF(数据!B39=0,"",数据!N39)</f>
        <v>1550</v>
      </c>
      <c r="F39" s="1">
        <f>IF(数据!B39=0,"",数据!O39)</f>
        <v>0.19</v>
      </c>
      <c r="G39" t="str">
        <f>IF(数据!B39=0,"",数据!P39)</f>
        <v>是</v>
      </c>
    </row>
    <row r="40" spans="1:7" x14ac:dyDescent="0.15">
      <c r="A40" s="6" t="str">
        <f>IF(数据!B40=0,"",数据!B40)</f>
        <v>直港新村59幢至直港新村30幢</v>
      </c>
      <c r="B40" s="1">
        <f>IF(数据!B40=0,"",数据!D40)</f>
        <v>472.6</v>
      </c>
      <c r="C40" s="1" t="str">
        <f>IF(数据!B40=0,"",数据!F40&amp;"-"&amp;数据!G40)</f>
        <v>1-24</v>
      </c>
      <c r="D40" s="5" t="str">
        <f ca="1">IF(数据!B40=0,"",数据!I40&amp;数据!$I$1&amp;数据!J40&amp;数据!$J$1&amp;数据!K40&amp;数据!$K$1&amp;数据!L40&amp;数据!$L$1&amp;数据!M40&amp;数据!$M$1)</f>
        <v>2022年11月13日11时48分</v>
      </c>
      <c r="E40" s="1">
        <f>IF(数据!B40=0,"",数据!N40)</f>
        <v>1550</v>
      </c>
      <c r="F40" s="1">
        <f>IF(数据!B40=0,"",数据!O40)</f>
        <v>0.19</v>
      </c>
      <c r="G40" t="str">
        <f>IF(数据!B40=0,"",数据!P40)</f>
        <v>是</v>
      </c>
    </row>
    <row r="41" spans="1:7" x14ac:dyDescent="0.15">
      <c r="A41" s="6" t="str">
        <f>IF(数据!B41=0,"",数据!B41)</f>
        <v>便民路光交至颖园饭店楼顶</v>
      </c>
      <c r="B41" s="1">
        <f>IF(数据!B41=0,"",数据!D41)</f>
        <v>220.4</v>
      </c>
      <c r="C41" s="1" t="str">
        <f>IF(数据!B41=0,"",数据!F41&amp;"-"&amp;数据!G41)</f>
        <v>1-24</v>
      </c>
      <c r="D41" s="5" t="str">
        <f ca="1">IF(数据!B41=0,"",数据!I41&amp;数据!$I$1&amp;数据!J41&amp;数据!$J$1&amp;数据!K41&amp;数据!$K$1&amp;数据!L41&amp;数据!$L$1&amp;数据!M41&amp;数据!$M$1)</f>
        <v>2022年11月14日8时17分</v>
      </c>
      <c r="E41" s="1">
        <f>IF(数据!B41=0,"",数据!N41)</f>
        <v>1550</v>
      </c>
      <c r="F41" s="1">
        <f>IF(数据!B41=0,"",数据!O41)</f>
        <v>0.19</v>
      </c>
      <c r="G41" t="str">
        <f>IF(数据!B41=0,"",数据!P41)</f>
        <v>是</v>
      </c>
    </row>
    <row r="42" spans="1:7" x14ac:dyDescent="0.15">
      <c r="A42" s="6" t="str">
        <f>IF(数据!B42=0,"",数据!B42)</f>
        <v>便民路光交至虹阳路便民路光交</v>
      </c>
      <c r="B42" s="1">
        <f>IF(数据!B42=0,"",数据!D42)</f>
        <v>724</v>
      </c>
      <c r="C42" s="1" t="str">
        <f>IF(数据!B42=0,"",数据!F42&amp;"-"&amp;数据!G42)</f>
        <v>1-24</v>
      </c>
      <c r="D42" s="5" t="str">
        <f ca="1">IF(数据!B42=0,"",数据!I42&amp;数据!$I$1&amp;数据!J42&amp;数据!$J$1&amp;数据!K42&amp;数据!$K$1&amp;数据!L42&amp;数据!$L$1&amp;数据!M42&amp;数据!$M$1)</f>
        <v>2022年11月17日16时55分</v>
      </c>
      <c r="E42" s="1">
        <f>IF(数据!B42=0,"",数据!N42)</f>
        <v>1550</v>
      </c>
      <c r="F42" s="1">
        <f>IF(数据!B42=0,"",数据!O42)</f>
        <v>0.19</v>
      </c>
      <c r="G42" t="str">
        <f>IF(数据!B42=0,"",数据!P42)</f>
        <v>是</v>
      </c>
    </row>
    <row r="43" spans="1:7" x14ac:dyDescent="0.15">
      <c r="A43" s="6" t="str">
        <f>IF(数据!B43=0,"",数据!B43)</f>
        <v>向阳路湖浔大道光交至南浔新奥燃气有限公司地下室机房</v>
      </c>
      <c r="B43" s="1">
        <f>IF(数据!B43=0,"",数据!D43)</f>
        <v>857.3</v>
      </c>
      <c r="C43" s="1" t="str">
        <f>IF(数据!B43=0,"",数据!F43&amp;"-"&amp;数据!G43)</f>
        <v>1-24</v>
      </c>
      <c r="D43" s="5" t="str">
        <f ca="1">IF(数据!B43=0,"",数据!I43&amp;数据!$I$1&amp;数据!J43&amp;数据!$J$1&amp;数据!K43&amp;数据!$K$1&amp;数据!L43&amp;数据!$L$1&amp;数据!M43&amp;数据!$M$1)</f>
        <v>2022年11月12日12时24分</v>
      </c>
      <c r="E43" s="1">
        <f>IF(数据!B43=0,"",数据!N43)</f>
        <v>1550</v>
      </c>
      <c r="F43" s="1">
        <f>IF(数据!B43=0,"",数据!O43)</f>
        <v>0.19</v>
      </c>
      <c r="G43" t="str">
        <f>IF(数据!B43=0,"",数据!P43)</f>
        <v>是</v>
      </c>
    </row>
    <row r="44" spans="1:7" x14ac:dyDescent="0.15">
      <c r="A44" s="6" t="str">
        <f>IF(数据!B44=0,"",数据!B44)</f>
        <v>南浔新奥燃气有限公司地下室机房至南浔新奥燃气有限公司2F弱电间</v>
      </c>
      <c r="B44" s="1">
        <f>IF(数据!B44=0,"",数据!D44)</f>
        <v>88.3</v>
      </c>
      <c r="C44" s="1" t="str">
        <f>IF(数据!B44=0,"",数据!F44&amp;"-"&amp;数据!G44)</f>
        <v>1-24</v>
      </c>
      <c r="D44" s="5" t="str">
        <f ca="1">IF(数据!B44=0,"",数据!I44&amp;数据!$I$1&amp;数据!J44&amp;数据!$J$1&amp;数据!K44&amp;数据!$K$1&amp;数据!L44&amp;数据!$L$1&amp;数据!M44&amp;数据!$M$1)</f>
        <v>2022年11月18日9时48分</v>
      </c>
      <c r="E44" s="1">
        <f>IF(数据!B44=0,"",数据!N44)</f>
        <v>1550</v>
      </c>
      <c r="F44" s="1">
        <f>IF(数据!B44=0,"",数据!O44)</f>
        <v>0.19</v>
      </c>
      <c r="G44" t="str">
        <f>IF(数据!B44=0,"",数据!P44)</f>
        <v>是</v>
      </c>
    </row>
    <row r="45" spans="1:7" x14ac:dyDescent="0.15">
      <c r="A45" s="6" t="str">
        <f>IF(数据!B45=0,"",数据!B45)</f>
        <v>城南三期基站至浔练公路和睦兜光交</v>
      </c>
      <c r="B45" s="1">
        <f>IF(数据!B45=0,"",数据!D45)</f>
        <v>1643.3</v>
      </c>
      <c r="C45" s="1" t="str">
        <f>IF(数据!B45=0,"",数据!F45&amp;"-"&amp;数据!G45)</f>
        <v>1-24</v>
      </c>
      <c r="D45" s="5" t="str">
        <f ca="1">IF(数据!B45=0,"",数据!I45&amp;数据!$I$1&amp;数据!J45&amp;数据!$J$1&amp;数据!K45&amp;数据!$K$1&amp;数据!L45&amp;数据!$L$1&amp;数据!M45&amp;数据!$M$1)</f>
        <v>2022年11月13日7时28分</v>
      </c>
      <c r="E45" s="1">
        <f>IF(数据!B45=0,"",数据!N45)</f>
        <v>1550</v>
      </c>
      <c r="F45" s="1">
        <f>IF(数据!B45=0,"",数据!O45)</f>
        <v>0.19</v>
      </c>
      <c r="G45" t="str">
        <f>IF(数据!B45=0,"",数据!P45)</f>
        <v>是</v>
      </c>
    </row>
    <row r="46" spans="1:7" x14ac:dyDescent="0.15">
      <c r="A46" s="6" t="str">
        <f>IF(数据!B46=0,"",数据!B46)</f>
        <v>南浔新桥南堍光交至章家湾北基站</v>
      </c>
      <c r="B46" s="1">
        <f>IF(数据!B46=0,"",数据!D46)</f>
        <v>878.3</v>
      </c>
      <c r="C46" s="1" t="str">
        <f>IF(数据!B46=0,"",数据!F46&amp;"-"&amp;数据!G46)</f>
        <v>1-24</v>
      </c>
      <c r="D46" s="5" t="str">
        <f ca="1">IF(数据!B46=0,"",数据!I46&amp;数据!$I$1&amp;数据!J46&amp;数据!$J$1&amp;数据!K46&amp;数据!$K$1&amp;数据!L46&amp;数据!$L$1&amp;数据!M46&amp;数据!$M$1)</f>
        <v>2022年11月17日9时28分</v>
      </c>
      <c r="E46" s="1">
        <f>IF(数据!B46=0,"",数据!N46)</f>
        <v>1550</v>
      </c>
      <c r="F46" s="1">
        <f>IF(数据!B46=0,"",数据!O46)</f>
        <v>0.19</v>
      </c>
      <c r="G46" t="str">
        <f>IF(数据!B46=0,"",数据!P46)</f>
        <v>是</v>
      </c>
    </row>
    <row r="47" spans="1:7" x14ac:dyDescent="0.15">
      <c r="A47" s="6" t="str">
        <f>IF(数据!B47=0,"",数据!B47)</f>
        <v>南浔中学基站至南浔区南浔中学光交</v>
      </c>
      <c r="B47" s="1">
        <f>IF(数据!B47=0,"",数据!D47)</f>
        <v>707.4</v>
      </c>
      <c r="C47" s="1" t="str">
        <f>IF(数据!B47=0,"",数据!F47&amp;"-"&amp;数据!G47)</f>
        <v>1-24</v>
      </c>
      <c r="D47" s="5" t="str">
        <f ca="1">IF(数据!B47=0,"",数据!I47&amp;数据!$I$1&amp;数据!J47&amp;数据!$J$1&amp;数据!K47&amp;数据!$K$1&amp;数据!L47&amp;数据!$L$1&amp;数据!M47&amp;数据!$M$1)</f>
        <v>2022年11月14日10时37分</v>
      </c>
      <c r="E47" s="1">
        <f>IF(数据!B47=0,"",数据!N47)</f>
        <v>1550</v>
      </c>
      <c r="F47" s="1">
        <f>IF(数据!B47=0,"",数据!O47)</f>
        <v>0.19</v>
      </c>
      <c r="G47" t="str">
        <f>IF(数据!B47=0,"",数据!P47)</f>
        <v>是</v>
      </c>
    </row>
    <row r="48" spans="1:7" x14ac:dyDescent="0.15">
      <c r="A48" s="6" t="str">
        <f>IF(数据!B48=0,"",数据!B48)</f>
        <v>富华路振华路光交至振华路东基站</v>
      </c>
      <c r="B48" s="1">
        <f>IF(数据!B48=0,"",数据!D48)</f>
        <v>1239.2</v>
      </c>
      <c r="C48" s="1" t="str">
        <f>IF(数据!B48=0,"",数据!F48&amp;"-"&amp;数据!G48)</f>
        <v>1-24</v>
      </c>
      <c r="D48" s="5" t="str">
        <f ca="1">IF(数据!B48=0,"",数据!I48&amp;数据!$I$1&amp;数据!J48&amp;数据!$J$1&amp;数据!K48&amp;数据!$K$1&amp;数据!L48&amp;数据!$L$1&amp;数据!M48&amp;数据!$M$1)</f>
        <v>2022年11月12日10时50分</v>
      </c>
      <c r="E48" s="1">
        <f>IF(数据!B48=0,"",数据!N48)</f>
        <v>1550</v>
      </c>
      <c r="F48" s="1">
        <f>IF(数据!B48=0,"",数据!O48)</f>
        <v>0.19</v>
      </c>
      <c r="G48" t="str">
        <f>IF(数据!B48=0,"",数据!P48)</f>
        <v>是</v>
      </c>
    </row>
    <row r="49" spans="1:7" x14ac:dyDescent="0.15">
      <c r="A49" s="6" t="str">
        <f>IF(数据!B49=0,"",数据!B49)</f>
        <v>菱湖祥生臻苑2号楼楼顶至菱湖菱新公路人民医院西光交</v>
      </c>
      <c r="B49" s="1">
        <f>IF(数据!B49=0,"",数据!D49)</f>
        <v>640.6</v>
      </c>
      <c r="C49" s="1" t="str">
        <f>IF(数据!B49=0,"",数据!F49&amp;"-"&amp;数据!G49)</f>
        <v>1-24</v>
      </c>
      <c r="D49" s="5" t="str">
        <f ca="1">IF(数据!B49=0,"",数据!I49&amp;数据!$I$1&amp;数据!J49&amp;数据!$J$1&amp;数据!K49&amp;数据!$K$1&amp;数据!L49&amp;数据!$L$1&amp;数据!M49&amp;数据!$M$1)</f>
        <v>2022年11月17日7时30分</v>
      </c>
      <c r="E49" s="1">
        <f>IF(数据!B49=0,"",数据!N49)</f>
        <v>1550</v>
      </c>
      <c r="F49" s="1">
        <f>IF(数据!B49=0,"",数据!O49)</f>
        <v>0.19</v>
      </c>
      <c r="G49" t="str">
        <f>IF(数据!B49=0,"",数据!P49)</f>
        <v>是</v>
      </c>
    </row>
    <row r="50" spans="1:7" x14ac:dyDescent="0.15">
      <c r="A50" s="6" t="str">
        <f>IF(数据!B50=0,"",数据!B50)</f>
        <v/>
      </c>
      <c r="B50" s="1" t="str">
        <f>IF(数据!B50=0,"",数据!D50)</f>
        <v/>
      </c>
      <c r="C50" s="1" t="str">
        <f>IF(数据!B50=0,"",数据!F50&amp;"-"&amp;数据!G50)</f>
        <v/>
      </c>
      <c r="D50" s="5" t="str">
        <f>IF(数据!B50=0,"",数据!I50&amp;数据!$I$1&amp;数据!J50&amp;数据!$J$1&amp;数据!K50&amp;数据!$K$1&amp;数据!L50&amp;数据!$L$1&amp;数据!M50&amp;数据!$M$1)</f>
        <v/>
      </c>
      <c r="E50" s="1" t="str">
        <f>IF(数据!B50=0,"",数据!N50)</f>
        <v/>
      </c>
      <c r="F50" s="1" t="str">
        <f>IF(数据!B50=0,"",数据!O50)</f>
        <v/>
      </c>
      <c r="G50" t="str">
        <f>IF(数据!B50=0,"",数据!P50)</f>
        <v/>
      </c>
    </row>
    <row r="51" spans="1:7" x14ac:dyDescent="0.15">
      <c r="A51" s="6" t="str">
        <f>IF(数据!B51=0,"",数据!B51)</f>
        <v/>
      </c>
      <c r="B51" s="1" t="str">
        <f>IF(数据!B51=0,"",数据!D51)</f>
        <v/>
      </c>
      <c r="C51" s="1" t="str">
        <f>IF(数据!B51=0,"",数据!F51&amp;"-"&amp;数据!G51)</f>
        <v/>
      </c>
      <c r="D51" s="5" t="str">
        <f>IF(数据!B51=0,"",数据!I51&amp;数据!$I$1&amp;数据!J51&amp;数据!$J$1&amp;数据!K51&amp;数据!$K$1&amp;数据!L51&amp;数据!$L$1&amp;数据!M51&amp;数据!$M$1)</f>
        <v/>
      </c>
      <c r="E51" s="1" t="str">
        <f>IF(数据!B51=0,"",数据!N51)</f>
        <v/>
      </c>
      <c r="F51" s="1" t="str">
        <f>IF(数据!B51=0,"",数据!O51)</f>
        <v/>
      </c>
      <c r="G51" t="str">
        <f>IF(数据!B51=0,"",数据!P51)</f>
        <v/>
      </c>
    </row>
    <row r="52" spans="1:7" x14ac:dyDescent="0.15">
      <c r="A52" s="6" t="str">
        <f>IF(数据!B52=0,"",数据!B52)</f>
        <v/>
      </c>
      <c r="B52" s="1" t="str">
        <f>IF(数据!B52=0,"",数据!D52)</f>
        <v/>
      </c>
      <c r="C52" s="1" t="str">
        <f>IF(数据!B52=0,"",数据!F52&amp;"-"&amp;数据!G52)</f>
        <v/>
      </c>
      <c r="D52" s="5" t="str">
        <f>IF(数据!B52=0,"",数据!I52&amp;数据!$I$1&amp;数据!J52&amp;数据!$J$1&amp;数据!K52&amp;数据!$K$1&amp;数据!L52&amp;数据!$L$1&amp;数据!M52&amp;数据!$M$1)</f>
        <v/>
      </c>
      <c r="E52" s="1" t="str">
        <f>IF(数据!B52=0,"",数据!N52)</f>
        <v/>
      </c>
      <c r="F52" s="1" t="str">
        <f>IF(数据!B52=0,"",数据!O52)</f>
        <v/>
      </c>
      <c r="G52" t="str">
        <f>IF(数据!B52=0,"",数据!P52)</f>
        <v/>
      </c>
    </row>
    <row r="53" spans="1:7" x14ac:dyDescent="0.15">
      <c r="A53" s="6" t="str">
        <f>IF(数据!B53=0,"",数据!B53)</f>
        <v/>
      </c>
      <c r="B53" s="1" t="str">
        <f>IF(数据!B53=0,"",数据!D53)</f>
        <v/>
      </c>
      <c r="C53" s="1" t="str">
        <f>IF(数据!B53=0,"",数据!F53&amp;"-"&amp;数据!G53)</f>
        <v/>
      </c>
      <c r="D53" s="5" t="str">
        <f>IF(数据!B53=0,"",数据!I53&amp;数据!$I$1&amp;数据!J53&amp;数据!$J$1&amp;数据!K53&amp;数据!$K$1&amp;数据!L53&amp;数据!$L$1&amp;数据!M53&amp;数据!$M$1)</f>
        <v/>
      </c>
      <c r="E53" s="1" t="str">
        <f>IF(数据!B53=0,"",数据!N53)</f>
        <v/>
      </c>
      <c r="F53" s="1" t="str">
        <f>IF(数据!B53=0,"",数据!O53)</f>
        <v/>
      </c>
      <c r="G53" t="str">
        <f>IF(数据!B53=0,"",数据!P53)</f>
        <v/>
      </c>
    </row>
    <row r="54" spans="1:7" s="17" customFormat="1" x14ac:dyDescent="0.15">
      <c r="A54" s="6" t="str">
        <f>IF(数据!B54=0,"",数据!B54)</f>
        <v/>
      </c>
      <c r="B54" s="1" t="str">
        <f>IF(数据!B54=0,"",数据!D54)</f>
        <v/>
      </c>
      <c r="C54" s="1" t="str">
        <f>IF(数据!B54=0,"",数据!F54&amp;"-"&amp;数据!G54)</f>
        <v/>
      </c>
      <c r="D54" s="5" t="str">
        <f>IF(数据!B54=0,"",数据!I54&amp;数据!$I$1&amp;数据!J54&amp;数据!$J$1&amp;数据!K54&amp;数据!$K$1&amp;数据!L54&amp;数据!$L$1&amp;数据!M54&amp;数据!$M$1)</f>
        <v/>
      </c>
      <c r="E54" s="1" t="str">
        <f>IF(数据!B54=0,"",数据!N54)</f>
        <v/>
      </c>
      <c r="F54" s="1" t="str">
        <f>IF(数据!B54=0,"",数据!O54)</f>
        <v/>
      </c>
      <c r="G54" t="str">
        <f>IF(数据!B54=0,"",数据!P54)</f>
        <v/>
      </c>
    </row>
    <row r="55" spans="1:7" x14ac:dyDescent="0.15">
      <c r="A55" s="6" t="str">
        <f>IF(数据!B55=0,"",数据!B55)</f>
        <v/>
      </c>
      <c r="B55" s="1" t="str">
        <f>IF(数据!B55=0,"",数据!D55)</f>
        <v/>
      </c>
      <c r="C55" s="1" t="str">
        <f>IF(数据!B55=0,"",数据!F55&amp;"-"&amp;数据!G55)</f>
        <v/>
      </c>
      <c r="D55" s="5" t="str">
        <f>IF(数据!B55=0,"",数据!I55&amp;数据!$I$1&amp;数据!J55&amp;数据!$J$1&amp;数据!K55&amp;数据!$K$1&amp;数据!L55&amp;数据!$L$1&amp;数据!M55&amp;数据!$M$1)</f>
        <v/>
      </c>
      <c r="E55" s="1" t="str">
        <f>IF(数据!B55=0,"",数据!N55)</f>
        <v/>
      </c>
      <c r="F55" s="1" t="str">
        <f>IF(数据!B55=0,"",数据!O55)</f>
        <v/>
      </c>
      <c r="G55" t="str">
        <f>IF(数据!B55=0,"",数据!P55)</f>
        <v/>
      </c>
    </row>
    <row r="56" spans="1:7" x14ac:dyDescent="0.15">
      <c r="A56" s="6" t="str">
        <f>IF(数据!B56=0,"",数据!B56)</f>
        <v/>
      </c>
      <c r="B56" s="1" t="str">
        <f>IF(数据!B56=0,"",数据!D56)</f>
        <v/>
      </c>
      <c r="C56" s="1" t="str">
        <f>IF(数据!B56=0,"",数据!F56&amp;"-"&amp;数据!G56)</f>
        <v/>
      </c>
      <c r="D56" s="5" t="str">
        <f>IF(数据!B56=0,"",数据!I56&amp;数据!$I$1&amp;数据!J56&amp;数据!$J$1&amp;数据!K56&amp;数据!$K$1&amp;数据!L56&amp;数据!$L$1&amp;数据!M56&amp;数据!$M$1)</f>
        <v/>
      </c>
      <c r="E56" s="1" t="str">
        <f>IF(数据!B56=0,"",数据!N56)</f>
        <v/>
      </c>
      <c r="F56" s="1" t="str">
        <f>IF(数据!B56=0,"",数据!O56)</f>
        <v/>
      </c>
      <c r="G56" t="str">
        <f>IF(数据!B56=0,"",数据!P56)</f>
        <v/>
      </c>
    </row>
    <row r="57" spans="1:7" x14ac:dyDescent="0.15">
      <c r="A57" s="6" t="str">
        <f>IF(数据!B57=0,"",数据!B57)</f>
        <v/>
      </c>
      <c r="B57" s="1" t="str">
        <f>IF(数据!B57=0,"",数据!D57)</f>
        <v/>
      </c>
      <c r="C57" s="1" t="str">
        <f>IF(数据!B57=0,"",数据!F57&amp;"-"&amp;数据!G57)</f>
        <v/>
      </c>
      <c r="D57" s="5" t="str">
        <f>IF(数据!B57=0,"",数据!I57&amp;数据!$I$1&amp;数据!J57&amp;数据!$J$1&amp;数据!K57&amp;数据!$K$1&amp;数据!L57&amp;数据!$L$1&amp;数据!M57&amp;数据!$M$1)</f>
        <v/>
      </c>
      <c r="E57" s="1" t="str">
        <f>IF(数据!B57=0,"",数据!N57)</f>
        <v/>
      </c>
      <c r="F57" s="1" t="str">
        <f>IF(数据!B57=0,"",数据!O57)</f>
        <v/>
      </c>
      <c r="G57" t="str">
        <f>IF(数据!B57=0,"",数据!P57)</f>
        <v/>
      </c>
    </row>
    <row r="58" spans="1:7" s="17" customFormat="1" x14ac:dyDescent="0.15">
      <c r="A58" s="6" t="str">
        <f>IF(数据!B58=0,"",数据!B58)</f>
        <v/>
      </c>
      <c r="B58" s="1" t="str">
        <f>IF(数据!B58=0,"",数据!D58)</f>
        <v/>
      </c>
      <c r="C58" s="1" t="str">
        <f>IF(数据!B58=0,"",数据!F58&amp;"-"&amp;数据!G58)</f>
        <v/>
      </c>
      <c r="D58" s="5" t="str">
        <f>IF(数据!B58=0,"",数据!I58&amp;数据!$I$1&amp;数据!J58&amp;数据!$J$1&amp;数据!K58&amp;数据!$K$1&amp;数据!L58&amp;数据!$L$1&amp;数据!M58&amp;数据!$M$1)</f>
        <v/>
      </c>
      <c r="E58" s="1" t="str">
        <f>IF(数据!B58=0,"",数据!N58)</f>
        <v/>
      </c>
      <c r="F58" s="1" t="str">
        <f>IF(数据!B58=0,"",数据!O58)</f>
        <v/>
      </c>
      <c r="G58" t="str">
        <f>IF(数据!B58=0,"",数据!P58)</f>
        <v/>
      </c>
    </row>
    <row r="59" spans="1:7" x14ac:dyDescent="0.15">
      <c r="A59" s="6" t="str">
        <f>IF(数据!B59=0,"",数据!B59)</f>
        <v/>
      </c>
      <c r="B59" s="1" t="str">
        <f>IF(数据!B59=0,"",数据!D59)</f>
        <v/>
      </c>
      <c r="C59" s="1" t="str">
        <f>IF(数据!B59=0,"",数据!F59&amp;"-"&amp;数据!G59)</f>
        <v/>
      </c>
      <c r="D59" s="5" t="str">
        <f>IF(数据!B59=0,"",数据!I59&amp;数据!$I$1&amp;数据!J59&amp;数据!$J$1&amp;数据!K59&amp;数据!$K$1&amp;数据!L59&amp;数据!$L$1&amp;数据!M59&amp;数据!$M$1)</f>
        <v/>
      </c>
      <c r="E59" s="1" t="str">
        <f>IF(数据!B59=0,"",数据!N59)</f>
        <v/>
      </c>
      <c r="F59" s="1" t="str">
        <f>IF(数据!B59=0,"",数据!O59)</f>
        <v/>
      </c>
      <c r="G59" t="str">
        <f>IF(数据!B59=0,"",数据!P59)</f>
        <v/>
      </c>
    </row>
    <row r="60" spans="1:7" x14ac:dyDescent="0.15">
      <c r="A60" s="6" t="str">
        <f>IF(数据!B60=0,"",数据!B60)</f>
        <v/>
      </c>
      <c r="B60" s="1" t="str">
        <f>IF(数据!B60=0,"",数据!D60)</f>
        <v/>
      </c>
      <c r="C60" s="1" t="str">
        <f>IF(数据!B60=0,"",数据!F60&amp;"-"&amp;数据!G60)</f>
        <v/>
      </c>
      <c r="D60" s="5" t="str">
        <f>IF(数据!B60=0,"",数据!I60&amp;数据!$I$1&amp;数据!J60&amp;数据!$J$1&amp;数据!K60&amp;数据!$K$1&amp;数据!L60&amp;数据!$L$1&amp;数据!M60&amp;数据!$M$1)</f>
        <v/>
      </c>
      <c r="E60" s="1" t="str">
        <f>IF(数据!B60=0,"",数据!N60)</f>
        <v/>
      </c>
      <c r="F60" s="1" t="str">
        <f>IF(数据!B60=0,"",数据!O60)</f>
        <v/>
      </c>
      <c r="G60" t="str">
        <f>IF(数据!B60=0,"",数据!P60)</f>
        <v/>
      </c>
    </row>
    <row r="61" spans="1:7" x14ac:dyDescent="0.15">
      <c r="A61" s="6" t="str">
        <f>IF(数据!B61=0,"",数据!B61)</f>
        <v/>
      </c>
      <c r="B61" s="1" t="str">
        <f>IF(数据!B61=0,"",数据!D61)</f>
        <v/>
      </c>
      <c r="C61" s="1" t="str">
        <f>IF(数据!B61=0,"",数据!F61&amp;"-"&amp;数据!G61)</f>
        <v/>
      </c>
      <c r="D61" s="5" t="str">
        <f>IF(数据!B61=0,"",数据!I61&amp;数据!$I$1&amp;数据!J61&amp;数据!$J$1&amp;数据!K61&amp;数据!$K$1&amp;数据!L61&amp;数据!$L$1&amp;数据!M61&amp;数据!$M$1)</f>
        <v/>
      </c>
      <c r="E61" s="1" t="str">
        <f>IF(数据!B61=0,"",数据!N61)</f>
        <v/>
      </c>
      <c r="F61" s="1" t="str">
        <f>IF(数据!B61=0,"",数据!O61)</f>
        <v/>
      </c>
      <c r="G61" t="str">
        <f>IF(数据!B61=0,"",数据!P61)</f>
        <v/>
      </c>
    </row>
    <row r="62" spans="1:7" x14ac:dyDescent="0.15">
      <c r="A62" s="6" t="str">
        <f>IF(数据!B62=0,"",数据!B62)</f>
        <v/>
      </c>
      <c r="B62" s="1" t="str">
        <f>IF(数据!B62=0,"",数据!D62)</f>
        <v/>
      </c>
      <c r="C62" s="1" t="str">
        <f>IF(数据!B62=0,"",数据!F62&amp;"-"&amp;数据!G62)</f>
        <v/>
      </c>
      <c r="D62" s="5" t="str">
        <f>IF(数据!B62=0,"",数据!I62&amp;数据!$I$1&amp;数据!J62&amp;数据!$J$1&amp;数据!K62&amp;数据!$K$1&amp;数据!L62&amp;数据!$L$1&amp;数据!M62&amp;数据!$M$1)</f>
        <v/>
      </c>
      <c r="E62" s="1" t="str">
        <f>IF(数据!B62=0,"",数据!N62)</f>
        <v/>
      </c>
      <c r="F62" s="1" t="str">
        <f>IF(数据!B62=0,"",数据!O62)</f>
        <v/>
      </c>
      <c r="G62" t="str">
        <f>IF(数据!B62=0,"",数据!P62)</f>
        <v/>
      </c>
    </row>
    <row r="63" spans="1:7" x14ac:dyDescent="0.15">
      <c r="A63" s="6" t="str">
        <f>IF(数据!B63=0,"",数据!B63)</f>
        <v/>
      </c>
      <c r="B63" s="1" t="str">
        <f>IF(数据!B63=0,"",数据!D63)</f>
        <v/>
      </c>
      <c r="C63" s="1" t="str">
        <f>IF(数据!B63=0,"",数据!F63&amp;"-"&amp;数据!G63)</f>
        <v/>
      </c>
      <c r="D63" s="5" t="str">
        <f>IF(数据!B63=0,"",数据!I63&amp;数据!$I$1&amp;数据!J63&amp;数据!$J$1&amp;数据!K63&amp;数据!$K$1&amp;数据!L63&amp;数据!$L$1&amp;数据!M63&amp;数据!$M$1)</f>
        <v/>
      </c>
      <c r="E63" s="1" t="str">
        <f>IF(数据!B63=0,"",数据!N63)</f>
        <v/>
      </c>
      <c r="F63" s="1" t="str">
        <f>IF(数据!B63=0,"",数据!O63)</f>
        <v/>
      </c>
      <c r="G63" t="str">
        <f>IF(数据!B63=0,"",数据!P63)</f>
        <v/>
      </c>
    </row>
    <row r="64" spans="1:7" x14ac:dyDescent="0.15">
      <c r="A64" s="6" t="str">
        <f>IF(数据!B64=0,"",数据!B64)</f>
        <v/>
      </c>
      <c r="B64" s="1" t="str">
        <f>IF(数据!B64=0,"",数据!D64)</f>
        <v/>
      </c>
      <c r="C64" s="1" t="str">
        <f>IF(数据!B64=0,"",数据!F64&amp;"-"&amp;数据!G64)</f>
        <v/>
      </c>
      <c r="D64" s="5" t="str">
        <f>IF(数据!B64=0,"",数据!I64&amp;数据!$I$1&amp;数据!J64&amp;数据!$J$1&amp;数据!K64&amp;数据!$K$1&amp;数据!L64&amp;数据!$L$1&amp;数据!M64&amp;数据!$M$1)</f>
        <v/>
      </c>
      <c r="E64" s="1" t="str">
        <f>IF(数据!B64=0,"",数据!N64)</f>
        <v/>
      </c>
      <c r="F64" s="1" t="str">
        <f>IF(数据!B64=0,"",数据!O64)</f>
        <v/>
      </c>
      <c r="G64" t="str">
        <f>IF(数据!B64=0,"",数据!P64)</f>
        <v/>
      </c>
    </row>
    <row r="65" spans="1:7" x14ac:dyDescent="0.15">
      <c r="A65" s="6" t="str">
        <f>IF(数据!B65=0,"",数据!B65)</f>
        <v/>
      </c>
      <c r="B65" s="1" t="str">
        <f>IF(数据!B65=0,"",数据!D65)</f>
        <v/>
      </c>
      <c r="C65" s="1" t="str">
        <f>IF(数据!B65=0,"",数据!F65&amp;"-"&amp;数据!G65)</f>
        <v/>
      </c>
      <c r="D65" s="5" t="str">
        <f>IF(数据!B65=0,"",数据!I65&amp;数据!$I$1&amp;数据!J65&amp;数据!$J$1&amp;数据!K65&amp;数据!$K$1&amp;数据!L65&amp;数据!$L$1&amp;数据!M65&amp;数据!$M$1)</f>
        <v/>
      </c>
      <c r="E65" s="1" t="str">
        <f>IF(数据!B65=0,"",数据!N65)</f>
        <v/>
      </c>
      <c r="F65" s="1" t="str">
        <f>IF(数据!B65=0,"",数据!O65)</f>
        <v/>
      </c>
      <c r="G65" t="str">
        <f>IF(数据!B65=0,"",数据!P65)</f>
        <v/>
      </c>
    </row>
    <row r="66" spans="1:7" x14ac:dyDescent="0.15">
      <c r="A66" s="6" t="str">
        <f>IF(数据!B66=0,"",数据!B66)</f>
        <v/>
      </c>
      <c r="B66" s="1" t="str">
        <f>IF(数据!B66=0,"",数据!D66)</f>
        <v/>
      </c>
      <c r="C66" s="1" t="str">
        <f>IF(数据!B66=0,"",数据!F66&amp;"-"&amp;数据!G66)</f>
        <v/>
      </c>
      <c r="D66" s="5" t="str">
        <f>IF(数据!B66=0,"",数据!I66&amp;数据!$I$1&amp;数据!J66&amp;数据!$J$1&amp;数据!K66&amp;数据!$K$1&amp;数据!L66&amp;数据!$L$1&amp;数据!M66&amp;数据!$M$1)</f>
        <v/>
      </c>
      <c r="E66" s="1" t="str">
        <f>IF(数据!B66=0,"",数据!N66)</f>
        <v/>
      </c>
      <c r="F66" s="1" t="str">
        <f>IF(数据!B66=0,"",数据!O66)</f>
        <v/>
      </c>
      <c r="G66" t="str">
        <f>IF(数据!B66=0,"",数据!P66)</f>
        <v/>
      </c>
    </row>
    <row r="67" spans="1:7" x14ac:dyDescent="0.15">
      <c r="A67" s="6" t="str">
        <f>IF(数据!B67=0,"",数据!B67)</f>
        <v/>
      </c>
      <c r="B67" s="1" t="str">
        <f>IF(数据!B67=0,"",数据!D67)</f>
        <v/>
      </c>
      <c r="C67" s="1" t="str">
        <f>IF(数据!B67=0,"",数据!F67&amp;"-"&amp;数据!G67)</f>
        <v/>
      </c>
      <c r="D67" s="5" t="str">
        <f>IF(数据!B67=0,"",数据!I67&amp;数据!$I$1&amp;数据!J67&amp;数据!$J$1&amp;数据!K67&amp;数据!$K$1&amp;数据!L67&amp;数据!$L$1&amp;数据!M67&amp;数据!$M$1)</f>
        <v/>
      </c>
      <c r="E67" s="1" t="str">
        <f>IF(数据!B67=0,"",数据!N67)</f>
        <v/>
      </c>
      <c r="F67" s="1" t="str">
        <f>IF(数据!B67=0,"",数据!O67)</f>
        <v/>
      </c>
      <c r="G67" t="str">
        <f>IF(数据!B67=0,"",数据!P67)</f>
        <v/>
      </c>
    </row>
    <row r="68" spans="1:7" x14ac:dyDescent="0.15">
      <c r="A68" s="6" t="str">
        <f>IF(数据!B68=0,"",数据!B68)</f>
        <v/>
      </c>
      <c r="B68" s="1" t="str">
        <f>IF(数据!B68=0,"",数据!D68)</f>
        <v/>
      </c>
      <c r="C68" s="1" t="str">
        <f>IF(数据!B68=0,"",数据!F68&amp;"-"&amp;数据!G68)</f>
        <v/>
      </c>
      <c r="D68" s="5" t="str">
        <f>IF(数据!B68=0,"",数据!I68&amp;数据!$I$1&amp;数据!J68&amp;数据!$J$1&amp;数据!K68&amp;数据!$K$1&amp;数据!L68&amp;数据!$L$1&amp;数据!M68&amp;数据!$M$1)</f>
        <v/>
      </c>
      <c r="E68" s="1" t="str">
        <f>IF(数据!B68=0,"",数据!N68)</f>
        <v/>
      </c>
      <c r="F68" s="1" t="str">
        <f>IF(数据!B68=0,"",数据!O68)</f>
        <v/>
      </c>
      <c r="G68" t="str">
        <f>IF(数据!B68=0,"",数据!P68)</f>
        <v/>
      </c>
    </row>
    <row r="69" spans="1:7" x14ac:dyDescent="0.15">
      <c r="A69" s="6" t="str">
        <f>IF(数据!B69=0,"",数据!B69)</f>
        <v/>
      </c>
      <c r="B69" s="1" t="str">
        <f>IF(数据!B69=0,"",数据!D69)</f>
        <v/>
      </c>
      <c r="C69" s="1" t="str">
        <f>IF(数据!B69=0,"",数据!F69&amp;"-"&amp;数据!G69)</f>
        <v/>
      </c>
      <c r="D69" s="5" t="str">
        <f>IF(数据!B69=0,"",数据!I69&amp;数据!$I$1&amp;数据!J69&amp;数据!$J$1&amp;数据!K69&amp;数据!$K$1&amp;数据!L69&amp;数据!$L$1&amp;数据!M69&amp;数据!$M$1)</f>
        <v/>
      </c>
      <c r="E69" s="1" t="str">
        <f>IF(数据!B69=0,"",数据!N69)</f>
        <v/>
      </c>
      <c r="F69" s="1" t="str">
        <f>IF(数据!B69=0,"",数据!O69)</f>
        <v/>
      </c>
      <c r="G69" t="str">
        <f>IF(数据!B69=0,"",数据!P69)</f>
        <v/>
      </c>
    </row>
    <row r="70" spans="1:7" x14ac:dyDescent="0.15">
      <c r="A70" s="6" t="str">
        <f>IF(数据!B70=0,"",数据!B70)</f>
        <v/>
      </c>
      <c r="B70" s="1" t="str">
        <f>IF(数据!B70=0,"",数据!D70)</f>
        <v/>
      </c>
      <c r="C70" s="1" t="str">
        <f>IF(数据!B70=0,"",数据!F70&amp;"-"&amp;数据!G70)</f>
        <v/>
      </c>
      <c r="D70" s="5" t="str">
        <f>IF(数据!B70=0,"",数据!I70&amp;数据!$I$1&amp;数据!J70&amp;数据!$J$1&amp;数据!K70&amp;数据!$K$1&amp;数据!L70&amp;数据!$L$1&amp;数据!M70&amp;数据!$M$1)</f>
        <v/>
      </c>
      <c r="E70" s="1" t="str">
        <f>IF(数据!B70=0,"",数据!N70)</f>
        <v/>
      </c>
      <c r="F70" s="1" t="str">
        <f>IF(数据!B70=0,"",数据!O70)</f>
        <v/>
      </c>
      <c r="G70" t="str">
        <f>IF(数据!B70=0,"",数据!P70)</f>
        <v/>
      </c>
    </row>
    <row r="71" spans="1:7" x14ac:dyDescent="0.15">
      <c r="A71" s="6" t="str">
        <f>IF(数据!B71=0,"",数据!B71)</f>
        <v/>
      </c>
      <c r="B71" s="1" t="str">
        <f>IF(数据!B71=0,"",数据!D71)</f>
        <v/>
      </c>
      <c r="C71" s="1" t="str">
        <f>IF(数据!B71=0,"",数据!F71&amp;"-"&amp;数据!G71)</f>
        <v/>
      </c>
      <c r="D71" s="5" t="str">
        <f>IF(数据!B71=0,"",数据!I71&amp;数据!$I$1&amp;数据!J71&amp;数据!$J$1&amp;数据!K71&amp;数据!$K$1&amp;数据!L71&amp;数据!$L$1&amp;数据!M71&amp;数据!$M$1)</f>
        <v/>
      </c>
      <c r="E71" s="1" t="str">
        <f>IF(数据!B71=0,"",数据!N71)</f>
        <v/>
      </c>
      <c r="F71" s="1" t="str">
        <f>IF(数据!B71=0,"",数据!O71)</f>
        <v/>
      </c>
      <c r="G71" t="str">
        <f>IF(数据!B71=0,"",数据!P71)</f>
        <v/>
      </c>
    </row>
    <row r="72" spans="1:7" x14ac:dyDescent="0.15">
      <c r="A72" s="6" t="str">
        <f>IF(数据!B72=0,"",数据!B72)</f>
        <v/>
      </c>
      <c r="B72" s="1" t="str">
        <f>IF(数据!B72=0,"",数据!D72)</f>
        <v/>
      </c>
      <c r="C72" s="1" t="str">
        <f>IF(数据!B72=0,"",数据!F72&amp;"-"&amp;数据!G72)</f>
        <v/>
      </c>
      <c r="D72" s="5" t="str">
        <f>IF(数据!B72=0,"",数据!I72&amp;数据!$I$1&amp;数据!J72&amp;数据!$J$1&amp;数据!K72&amp;数据!$K$1&amp;数据!L72&amp;数据!$L$1&amp;数据!M72&amp;数据!$M$1)</f>
        <v/>
      </c>
      <c r="E72" s="1" t="str">
        <f>IF(数据!B72=0,"",数据!N72)</f>
        <v/>
      </c>
      <c r="F72" s="1" t="str">
        <f>IF(数据!B72=0,"",数据!O72)</f>
        <v/>
      </c>
      <c r="G72" t="str">
        <f>IF(数据!B72=0,"",数据!P72)</f>
        <v/>
      </c>
    </row>
    <row r="73" spans="1:7" x14ac:dyDescent="0.15">
      <c r="A73" s="6" t="str">
        <f>IF(数据!B73=0,"",数据!B73)</f>
        <v/>
      </c>
      <c r="B73" s="1" t="str">
        <f>IF(数据!B73=0,"",数据!D73)</f>
        <v/>
      </c>
      <c r="C73" s="1" t="str">
        <f>IF(数据!B73=0,"",数据!F73&amp;"-"&amp;数据!G73)</f>
        <v/>
      </c>
      <c r="D73" s="5" t="str">
        <f>IF(数据!B73=0,"",数据!I73&amp;数据!$I$1&amp;数据!J73&amp;数据!$J$1&amp;数据!K73&amp;数据!$K$1&amp;数据!L73&amp;数据!$L$1&amp;数据!M73&amp;数据!$M$1)</f>
        <v/>
      </c>
      <c r="E73" s="1" t="str">
        <f>IF(数据!B73=0,"",数据!N73)</f>
        <v/>
      </c>
      <c r="F73" s="1" t="str">
        <f>IF(数据!B73=0,"",数据!O73)</f>
        <v/>
      </c>
      <c r="G73" t="str">
        <f>IF(数据!B73=0,"",数据!P73)</f>
        <v/>
      </c>
    </row>
    <row r="74" spans="1:7" x14ac:dyDescent="0.15">
      <c r="A74" s="6" t="str">
        <f>IF(数据!B74=0,"",数据!B74)</f>
        <v/>
      </c>
      <c r="B74" s="1" t="str">
        <f>IF(数据!B74=0,"",数据!D74)</f>
        <v/>
      </c>
      <c r="C74" s="1" t="str">
        <f>IF(数据!B74=0,"",数据!F74&amp;"-"&amp;数据!G74)</f>
        <v/>
      </c>
      <c r="D74" s="5" t="str">
        <f>IF(数据!B74=0,"",数据!I74&amp;数据!$I$1&amp;数据!J74&amp;数据!$J$1&amp;数据!K74&amp;数据!$K$1&amp;数据!L74&amp;数据!$L$1&amp;数据!M74&amp;数据!$M$1)</f>
        <v/>
      </c>
      <c r="E74" s="1" t="str">
        <f>IF(数据!B74=0,"",数据!N74)</f>
        <v/>
      </c>
      <c r="F74" s="1" t="str">
        <f>IF(数据!B74=0,"",数据!O74)</f>
        <v/>
      </c>
      <c r="G74" t="str">
        <f>IF(数据!B74=0,"",数据!P74)</f>
        <v/>
      </c>
    </row>
    <row r="75" spans="1:7" x14ac:dyDescent="0.15">
      <c r="A75" s="6" t="str">
        <f>IF(数据!B75=0,"",数据!B75)</f>
        <v/>
      </c>
      <c r="B75" s="1" t="str">
        <f>IF(数据!B75=0,"",数据!D75)</f>
        <v/>
      </c>
      <c r="C75" s="1" t="str">
        <f>IF(数据!B75=0,"",数据!F75&amp;"-"&amp;数据!G75)</f>
        <v/>
      </c>
      <c r="D75" s="5" t="str">
        <f>IF(数据!B75=0,"",数据!I75&amp;数据!$I$1&amp;数据!J75&amp;数据!$J$1&amp;数据!K75&amp;数据!$K$1&amp;数据!L75&amp;数据!$L$1&amp;数据!M75&amp;数据!$M$1)</f>
        <v/>
      </c>
      <c r="E75" s="1" t="str">
        <f>IF(数据!B75=0,"",数据!N75)</f>
        <v/>
      </c>
      <c r="F75" s="1" t="str">
        <f>IF(数据!B75=0,"",数据!O75)</f>
        <v/>
      </c>
      <c r="G75" t="str">
        <f>IF(数据!B75=0,"",数据!P75)</f>
        <v/>
      </c>
    </row>
    <row r="76" spans="1:7" x14ac:dyDescent="0.15">
      <c r="A76" s="6" t="str">
        <f>IF(数据!B76=0,"",数据!B76)</f>
        <v/>
      </c>
      <c r="B76" s="1" t="str">
        <f>IF(数据!B76=0,"",数据!D76)</f>
        <v/>
      </c>
      <c r="C76" s="1" t="str">
        <f>IF(数据!B76=0,"",数据!F76&amp;"-"&amp;数据!G76)</f>
        <v/>
      </c>
      <c r="D76" s="5" t="str">
        <f>IF(数据!B76=0,"",数据!I76&amp;数据!$I$1&amp;数据!J76&amp;数据!$J$1&amp;数据!K76&amp;数据!$K$1&amp;数据!L76&amp;数据!$L$1&amp;数据!M76&amp;数据!$M$1)</f>
        <v/>
      </c>
      <c r="E76" s="1" t="str">
        <f>IF(数据!B76=0,"",数据!N76)</f>
        <v/>
      </c>
      <c r="F76" s="1" t="str">
        <f>IF(数据!B76=0,"",数据!O76)</f>
        <v/>
      </c>
      <c r="G76" t="str">
        <f>IF(数据!B76=0,"",数据!P76)</f>
        <v/>
      </c>
    </row>
    <row r="77" spans="1:7" x14ac:dyDescent="0.15">
      <c r="A77" s="6" t="str">
        <f>IF(数据!B77=0,"",数据!B77)</f>
        <v/>
      </c>
      <c r="B77" s="1" t="str">
        <f>IF(数据!B77=0,"",数据!D77)</f>
        <v/>
      </c>
      <c r="C77" s="1" t="str">
        <f>IF(数据!B77=0,"",数据!F77&amp;"-"&amp;数据!G77)</f>
        <v/>
      </c>
      <c r="D77" s="5" t="str">
        <f>IF(数据!B77=0,"",数据!I77&amp;数据!$I$1&amp;数据!J77&amp;数据!$J$1&amp;数据!K77&amp;数据!$K$1&amp;数据!L77&amp;数据!$L$1&amp;数据!M77&amp;数据!$M$1)</f>
        <v/>
      </c>
      <c r="E77" s="1" t="str">
        <f>IF(数据!B77=0,"",数据!N77)</f>
        <v/>
      </c>
      <c r="F77" s="1" t="str">
        <f>IF(数据!B77=0,"",数据!O77)</f>
        <v/>
      </c>
      <c r="G77" t="str">
        <f>IF(数据!B77=0,"",数据!P77)</f>
        <v/>
      </c>
    </row>
    <row r="78" spans="1:7" x14ac:dyDescent="0.15">
      <c r="A78" s="6" t="str">
        <f>IF(数据!B78=0,"",数据!B78)</f>
        <v/>
      </c>
      <c r="B78" s="1" t="str">
        <f>IF(数据!B78=0,"",数据!D78)</f>
        <v/>
      </c>
      <c r="C78" s="1" t="str">
        <f>IF(数据!B78=0,"",数据!F78&amp;"-"&amp;数据!G78)</f>
        <v/>
      </c>
      <c r="D78" s="5" t="str">
        <f>IF(数据!B78=0,"",数据!I78&amp;数据!$I$1&amp;数据!J78&amp;数据!$J$1&amp;数据!K78&amp;数据!$K$1&amp;数据!L78&amp;数据!$L$1&amp;数据!M78&amp;数据!$M$1)</f>
        <v/>
      </c>
      <c r="E78" s="1" t="str">
        <f>IF(数据!B78=0,"",数据!N78)</f>
        <v/>
      </c>
      <c r="F78" s="1" t="str">
        <f>IF(数据!B78=0,"",数据!O78)</f>
        <v/>
      </c>
      <c r="G78" t="str">
        <f>IF(数据!B78=0,"",数据!P78)</f>
        <v/>
      </c>
    </row>
    <row r="79" spans="1:7" x14ac:dyDescent="0.15">
      <c r="A79" s="6" t="str">
        <f>IF(数据!B79=0,"",数据!B79)</f>
        <v/>
      </c>
      <c r="B79" s="1" t="str">
        <f>IF(数据!B79=0,"",数据!D79)</f>
        <v/>
      </c>
      <c r="C79" s="1" t="str">
        <f>IF(数据!B79=0,"",数据!F79&amp;"-"&amp;数据!G79)</f>
        <v/>
      </c>
      <c r="D79" s="5" t="str">
        <f>IF(数据!B79=0,"",数据!I79&amp;数据!$I$1&amp;数据!J79&amp;数据!$J$1&amp;数据!K79&amp;数据!$K$1&amp;数据!L79&amp;数据!$L$1&amp;数据!M79&amp;数据!$M$1)</f>
        <v/>
      </c>
      <c r="E79" s="1" t="str">
        <f>IF(数据!B79=0,"",数据!N79)</f>
        <v/>
      </c>
      <c r="F79" s="1" t="str">
        <f>IF(数据!B79=0,"",数据!O79)</f>
        <v/>
      </c>
      <c r="G79" t="str">
        <f>IF(数据!B79=0,"",数据!P79)</f>
        <v/>
      </c>
    </row>
    <row r="80" spans="1:7" x14ac:dyDescent="0.15">
      <c r="A80" s="6" t="str">
        <f>IF(数据!B80=0,"",数据!B80)</f>
        <v/>
      </c>
      <c r="B80" s="1" t="str">
        <f>IF(数据!B80=0,"",数据!D80)</f>
        <v/>
      </c>
      <c r="C80" s="1" t="str">
        <f>IF(数据!B80=0,"",数据!F80&amp;"-"&amp;数据!G80)</f>
        <v/>
      </c>
      <c r="D80" s="5" t="str">
        <f>IF(数据!B80=0,"",数据!I80&amp;数据!$I$1&amp;数据!J80&amp;数据!$J$1&amp;数据!K80&amp;数据!$K$1&amp;数据!L80&amp;数据!$L$1&amp;数据!M80&amp;数据!$M$1)</f>
        <v/>
      </c>
      <c r="E80" s="1" t="str">
        <f>IF(数据!B80=0,"",数据!N80)</f>
        <v/>
      </c>
      <c r="F80" s="1" t="str">
        <f>IF(数据!B80=0,"",数据!O80)</f>
        <v/>
      </c>
      <c r="G80" t="str">
        <f>IF(数据!B80=0,"",数据!P80)</f>
        <v/>
      </c>
    </row>
    <row r="81" spans="1:7" x14ac:dyDescent="0.15">
      <c r="A81" s="6" t="str">
        <f>IF(数据!B81=0,"",数据!B81)</f>
        <v/>
      </c>
      <c r="B81" s="1" t="str">
        <f>IF(数据!B81=0,"",数据!D81)</f>
        <v/>
      </c>
      <c r="C81" s="1" t="str">
        <f>IF(数据!B81=0,"",数据!F81&amp;"-"&amp;数据!G81)</f>
        <v/>
      </c>
      <c r="D81" s="5" t="str">
        <f>IF(数据!B81=0,"",数据!I81&amp;数据!$I$1&amp;数据!J81&amp;数据!$J$1&amp;数据!K81&amp;数据!$K$1&amp;数据!L81&amp;数据!$L$1&amp;数据!M81&amp;数据!$M$1)</f>
        <v/>
      </c>
      <c r="E81" s="1" t="str">
        <f>IF(数据!B81=0,"",数据!N81)</f>
        <v/>
      </c>
      <c r="F81" s="1" t="str">
        <f>IF(数据!B81=0,"",数据!O81)</f>
        <v/>
      </c>
      <c r="G81" t="str">
        <f>IF(数据!B81=0,"",数据!P81)</f>
        <v/>
      </c>
    </row>
    <row r="82" spans="1:7" x14ac:dyDescent="0.15">
      <c r="A82" s="6" t="str">
        <f>IF(数据!B82=0,"",数据!B82)</f>
        <v/>
      </c>
      <c r="B82" s="1" t="str">
        <f>IF(数据!B82=0,"",数据!D82)</f>
        <v/>
      </c>
      <c r="C82" s="1" t="str">
        <f>IF(数据!B82=0,"",数据!F82&amp;"-"&amp;数据!G82)</f>
        <v/>
      </c>
      <c r="D82" s="5" t="str">
        <f>IF(数据!B82=0,"",数据!I82&amp;数据!$I$1&amp;数据!J82&amp;数据!$J$1&amp;数据!K82&amp;数据!$K$1&amp;数据!L82&amp;数据!$L$1&amp;数据!M82&amp;数据!$M$1)</f>
        <v/>
      </c>
      <c r="E82" s="1" t="str">
        <f>IF(数据!B82=0,"",数据!N82)</f>
        <v/>
      </c>
      <c r="F82" s="1" t="str">
        <f>IF(数据!B82=0,"",数据!O82)</f>
        <v/>
      </c>
      <c r="G82" t="str">
        <f>IF(数据!B82=0,"",数据!P82)</f>
        <v/>
      </c>
    </row>
    <row r="83" spans="1:7" x14ac:dyDescent="0.15">
      <c r="A83" s="6" t="str">
        <f>IF(数据!B83=0,"",数据!B83)</f>
        <v/>
      </c>
      <c r="B83" s="1" t="str">
        <f>IF(数据!B83=0,"",数据!D83)</f>
        <v/>
      </c>
      <c r="C83" s="1" t="str">
        <f>IF(数据!B83=0,"",数据!F83&amp;"-"&amp;数据!G83)</f>
        <v/>
      </c>
      <c r="D83" s="5" t="str">
        <f>IF(数据!B83=0,"",数据!I83&amp;数据!$I$1&amp;数据!J83&amp;数据!$J$1&amp;数据!K83&amp;数据!$K$1&amp;数据!L83&amp;数据!$L$1&amp;数据!M83&amp;数据!$M$1)</f>
        <v/>
      </c>
      <c r="E83" s="1" t="str">
        <f>IF(数据!B83=0,"",数据!N83)</f>
        <v/>
      </c>
      <c r="F83" s="1" t="str">
        <f>IF(数据!B83=0,"",数据!O83)</f>
        <v/>
      </c>
      <c r="G83" t="str">
        <f>IF(数据!B83=0,"",数据!P83)</f>
        <v/>
      </c>
    </row>
    <row r="84" spans="1:7" x14ac:dyDescent="0.15">
      <c r="A84" s="6" t="str">
        <f>IF(数据!B84=0,"",数据!B84)</f>
        <v/>
      </c>
      <c r="B84" s="1" t="str">
        <f>IF(数据!B84=0,"",数据!D84)</f>
        <v/>
      </c>
      <c r="C84" s="1" t="str">
        <f>IF(数据!B84=0,"",数据!F84&amp;"-"&amp;数据!G84)</f>
        <v/>
      </c>
      <c r="D84" s="5" t="str">
        <f>IF(数据!B84=0,"",数据!I84&amp;数据!$I$1&amp;数据!J84&amp;数据!$J$1&amp;数据!K84&amp;数据!$K$1&amp;数据!L84&amp;数据!$L$1&amp;数据!M84&amp;数据!$M$1)</f>
        <v/>
      </c>
      <c r="E84" s="1" t="str">
        <f>IF(数据!B84=0,"",数据!N84)</f>
        <v/>
      </c>
      <c r="F84" s="1" t="str">
        <f>IF(数据!B84=0,"",数据!O84)</f>
        <v/>
      </c>
      <c r="G84" t="str">
        <f>IF(数据!B84=0,"",数据!P84)</f>
        <v/>
      </c>
    </row>
    <row r="85" spans="1:7" x14ac:dyDescent="0.15">
      <c r="A85" s="6" t="str">
        <f>IF(数据!B85=0,"",数据!B85)</f>
        <v/>
      </c>
      <c r="B85" s="1" t="str">
        <f>IF(数据!B85=0,"",数据!D85)</f>
        <v/>
      </c>
      <c r="C85" s="1" t="str">
        <f>IF(数据!B85=0,"",数据!F85&amp;"-"&amp;数据!G85)</f>
        <v/>
      </c>
      <c r="D85" s="5" t="str">
        <f>IF(数据!B85=0,"",数据!I85&amp;数据!$I$1&amp;数据!J85&amp;数据!$J$1&amp;数据!K85&amp;数据!$K$1&amp;数据!L85&amp;数据!$L$1&amp;数据!M85&amp;数据!$M$1)</f>
        <v/>
      </c>
      <c r="E85" s="1" t="str">
        <f>IF(数据!B85=0,"",数据!N85)</f>
        <v/>
      </c>
      <c r="F85" s="1" t="str">
        <f>IF(数据!B85=0,"",数据!O85)</f>
        <v/>
      </c>
      <c r="G85" t="str">
        <f>IF(数据!B85=0,"",数据!P85)</f>
        <v/>
      </c>
    </row>
    <row r="86" spans="1:7" x14ac:dyDescent="0.15">
      <c r="A86" s="6" t="str">
        <f>IF(数据!B86=0,"",数据!B86)</f>
        <v/>
      </c>
      <c r="B86" s="1" t="str">
        <f>IF(数据!B86=0,"",数据!D86)</f>
        <v/>
      </c>
      <c r="C86" s="1" t="str">
        <f>IF(数据!B86=0,"",数据!F86&amp;"-"&amp;数据!G86)</f>
        <v/>
      </c>
      <c r="D86" s="5" t="str">
        <f>IF(数据!B86=0,"",数据!I86&amp;数据!$I$1&amp;数据!J86&amp;数据!$J$1&amp;数据!K86&amp;数据!$K$1&amp;数据!L86&amp;数据!$L$1&amp;数据!M86&amp;数据!$M$1)</f>
        <v/>
      </c>
      <c r="E86" s="1" t="str">
        <f>IF(数据!B86=0,"",数据!N86)</f>
        <v/>
      </c>
      <c r="F86" s="1" t="str">
        <f>IF(数据!B86=0,"",数据!O86)</f>
        <v/>
      </c>
      <c r="G86" t="str">
        <f>IF(数据!B86=0,"",数据!P86)</f>
        <v/>
      </c>
    </row>
    <row r="87" spans="1:7" x14ac:dyDescent="0.15">
      <c r="A87" s="6" t="str">
        <f>IF(数据!B87=0,"",数据!B87)</f>
        <v/>
      </c>
      <c r="B87" s="1" t="str">
        <f>IF(数据!B87=0,"",数据!D87)</f>
        <v/>
      </c>
      <c r="C87" s="1" t="str">
        <f>IF(数据!B87=0,"",数据!F87&amp;"-"&amp;数据!G87)</f>
        <v/>
      </c>
      <c r="D87" s="5" t="str">
        <f>IF(数据!B87=0,"",数据!I87&amp;数据!$I$1&amp;数据!J87&amp;数据!$J$1&amp;数据!K87&amp;数据!$K$1&amp;数据!L87&amp;数据!$L$1&amp;数据!M87&amp;数据!$M$1)</f>
        <v/>
      </c>
      <c r="E87" s="1" t="str">
        <f>IF(数据!B87=0,"",数据!N87)</f>
        <v/>
      </c>
      <c r="F87" s="1" t="str">
        <f>IF(数据!B87=0,"",数据!O87)</f>
        <v/>
      </c>
      <c r="G87" t="str">
        <f>IF(数据!B87=0,"",数据!P87)</f>
        <v/>
      </c>
    </row>
    <row r="88" spans="1:7" x14ac:dyDescent="0.15">
      <c r="A88" s="6" t="str">
        <f>IF(数据!B88=0,"",数据!B88)</f>
        <v/>
      </c>
      <c r="B88" s="1" t="str">
        <f>IF(数据!B88=0,"",数据!D88)</f>
        <v/>
      </c>
      <c r="C88" s="1" t="str">
        <f>IF(数据!B88=0,"",数据!F88&amp;"-"&amp;数据!G88)</f>
        <v/>
      </c>
      <c r="D88" s="5" t="str">
        <f>IF(数据!B88=0,"",数据!I88&amp;数据!$I$1&amp;数据!J88&amp;数据!$J$1&amp;数据!K88&amp;数据!$K$1&amp;数据!L88&amp;数据!$L$1&amp;数据!M88&amp;数据!$M$1)</f>
        <v/>
      </c>
      <c r="E88" s="1" t="str">
        <f>IF(数据!B88=0,"",数据!N88)</f>
        <v/>
      </c>
      <c r="F88" s="1" t="str">
        <f>IF(数据!B88=0,"",数据!O88)</f>
        <v/>
      </c>
      <c r="G88" t="str">
        <f>IF(数据!B88=0,"",数据!P88)</f>
        <v/>
      </c>
    </row>
    <row r="89" spans="1:7" s="17" customFormat="1" x14ac:dyDescent="0.15">
      <c r="A89" s="6" t="str">
        <f>IF(数据!B89=0,"",数据!B89)</f>
        <v/>
      </c>
      <c r="B89" s="1" t="str">
        <f>IF(数据!B89=0,"",数据!D89)</f>
        <v/>
      </c>
      <c r="C89" s="1" t="str">
        <f>IF(数据!B89=0,"",数据!F89&amp;"-"&amp;数据!G89)</f>
        <v/>
      </c>
      <c r="D89" s="5" t="str">
        <f>IF(数据!B89=0,"",数据!I89&amp;数据!$I$1&amp;数据!J89&amp;数据!$J$1&amp;数据!K89&amp;数据!$K$1&amp;数据!L89&amp;数据!$L$1&amp;数据!M89&amp;数据!$M$1)</f>
        <v/>
      </c>
      <c r="E89" s="1" t="str">
        <f>IF(数据!B89=0,"",数据!N89)</f>
        <v/>
      </c>
      <c r="F89" s="1" t="str">
        <f>IF(数据!B89=0,"",数据!O89)</f>
        <v/>
      </c>
      <c r="G89" t="str">
        <f>IF(数据!B89=0,"",数据!P89)</f>
        <v/>
      </c>
    </row>
    <row r="90" spans="1:7" x14ac:dyDescent="0.15">
      <c r="A90" s="6" t="str">
        <f>IF(数据!B90=0,"",数据!B90)</f>
        <v/>
      </c>
      <c r="B90" s="1" t="str">
        <f>IF(数据!B90=0,"",数据!D90)</f>
        <v/>
      </c>
      <c r="C90" s="1" t="str">
        <f>IF(数据!B90=0,"",数据!F90&amp;"-"&amp;数据!G90)</f>
        <v/>
      </c>
      <c r="D90" s="5" t="str">
        <f>IF(数据!B90=0,"",数据!I90&amp;数据!$I$1&amp;数据!J90&amp;数据!$J$1&amp;数据!K90&amp;数据!$K$1&amp;数据!L90&amp;数据!$L$1&amp;数据!M90&amp;数据!$M$1)</f>
        <v/>
      </c>
      <c r="E90" s="1" t="str">
        <f>IF(数据!B90=0,"",数据!N90)</f>
        <v/>
      </c>
      <c r="F90" s="1" t="str">
        <f>IF(数据!B90=0,"",数据!O90)</f>
        <v/>
      </c>
      <c r="G90" t="str">
        <f>IF(数据!B90=0,"",数据!P90)</f>
        <v/>
      </c>
    </row>
    <row r="91" spans="1:7" x14ac:dyDescent="0.15">
      <c r="A91" s="6" t="str">
        <f>IF(数据!B91=0,"",数据!B91)</f>
        <v/>
      </c>
      <c r="B91" s="1" t="str">
        <f>IF(数据!B91=0,"",数据!D91)</f>
        <v/>
      </c>
      <c r="C91" s="1" t="str">
        <f>IF(数据!B91=0,"",数据!F91&amp;"-"&amp;数据!G91)</f>
        <v/>
      </c>
      <c r="D91" s="5" t="str">
        <f>IF(数据!B91=0,"",数据!I91&amp;数据!$I$1&amp;数据!J91&amp;数据!$J$1&amp;数据!K91&amp;数据!$K$1&amp;数据!L91&amp;数据!$L$1&amp;数据!M91&amp;数据!$M$1)</f>
        <v/>
      </c>
      <c r="E91" s="1" t="str">
        <f>IF(数据!B91=0,"",数据!N91)</f>
        <v/>
      </c>
      <c r="F91" s="1" t="str">
        <f>IF(数据!B91=0,"",数据!O91)</f>
        <v/>
      </c>
      <c r="G91" t="str">
        <f>IF(数据!B91=0,"",数据!P91)</f>
        <v/>
      </c>
    </row>
    <row r="92" spans="1:7" s="17" customFormat="1" x14ac:dyDescent="0.15">
      <c r="A92" s="6" t="str">
        <f>IF(数据!B92=0,"",数据!B92)</f>
        <v/>
      </c>
      <c r="B92" s="1" t="str">
        <f>IF(数据!B92=0,"",数据!D92)</f>
        <v/>
      </c>
      <c r="C92" s="1" t="str">
        <f>IF(数据!B92=0,"",数据!F92&amp;"-"&amp;数据!G92)</f>
        <v/>
      </c>
      <c r="D92" s="5" t="str">
        <f>IF(数据!B92=0,"",数据!I92&amp;数据!$I$1&amp;数据!J92&amp;数据!$J$1&amp;数据!K92&amp;数据!$K$1&amp;数据!L92&amp;数据!$L$1&amp;数据!M92&amp;数据!$M$1)</f>
        <v/>
      </c>
      <c r="E92" s="1" t="str">
        <f>IF(数据!B92=0,"",数据!N92)</f>
        <v/>
      </c>
      <c r="F92" s="1" t="str">
        <f>IF(数据!B92=0,"",数据!O92)</f>
        <v/>
      </c>
      <c r="G92" t="str">
        <f>IF(数据!B92=0,"",数据!P92)</f>
        <v/>
      </c>
    </row>
    <row r="93" spans="1:7" x14ac:dyDescent="0.15">
      <c r="A93" s="6" t="str">
        <f>IF(数据!B93=0,"",数据!B93)</f>
        <v/>
      </c>
      <c r="B93" s="1" t="str">
        <f>IF(数据!B93=0,"",数据!D93)</f>
        <v/>
      </c>
      <c r="C93" s="1" t="str">
        <f>IF(数据!B93=0,"",数据!F93&amp;"-"&amp;数据!G93)</f>
        <v/>
      </c>
      <c r="D93" s="5" t="str">
        <f>IF(数据!B93=0,"",数据!I93&amp;数据!$I$1&amp;数据!J93&amp;数据!$J$1&amp;数据!K93&amp;数据!$K$1&amp;数据!L93&amp;数据!$L$1&amp;数据!M93&amp;数据!$M$1)</f>
        <v/>
      </c>
      <c r="E93" s="1" t="str">
        <f>IF(数据!B93=0,"",数据!N93)</f>
        <v/>
      </c>
      <c r="F93" s="1" t="str">
        <f>IF(数据!B93=0,"",数据!O93)</f>
        <v/>
      </c>
      <c r="G93" t="str">
        <f>IF(数据!B93=0,"",数据!P93)</f>
        <v/>
      </c>
    </row>
    <row r="94" spans="1:7" x14ac:dyDescent="0.15">
      <c r="A94" s="6" t="str">
        <f>IF(数据!B94=0,"",数据!B94)</f>
        <v/>
      </c>
      <c r="B94" s="1" t="str">
        <f>IF(数据!B94=0,"",数据!D94)</f>
        <v/>
      </c>
      <c r="C94" s="1" t="str">
        <f>IF(数据!B94=0,"",数据!F94&amp;"-"&amp;数据!G94)</f>
        <v/>
      </c>
      <c r="D94" s="5" t="str">
        <f>IF(数据!B94=0,"",数据!I94&amp;数据!$I$1&amp;数据!J94&amp;数据!$J$1&amp;数据!K94&amp;数据!$K$1&amp;数据!L94&amp;数据!$L$1&amp;数据!M94&amp;数据!$M$1)</f>
        <v/>
      </c>
      <c r="E94" s="1" t="str">
        <f>IF(数据!B94=0,"",数据!N94)</f>
        <v/>
      </c>
      <c r="F94" s="1" t="str">
        <f>IF(数据!B94=0,"",数据!O94)</f>
        <v/>
      </c>
      <c r="G94" t="str">
        <f>IF(数据!B94=0,"",数据!P94)</f>
        <v/>
      </c>
    </row>
    <row r="95" spans="1:7" x14ac:dyDescent="0.15">
      <c r="A95" s="6" t="str">
        <f>IF(数据!B95=0,"",数据!B95)</f>
        <v/>
      </c>
      <c r="B95" s="1" t="str">
        <f>IF(数据!B95=0,"",数据!D95)</f>
        <v/>
      </c>
      <c r="C95" s="1" t="str">
        <f>IF(数据!B95=0,"",数据!F95&amp;"-"&amp;数据!G95)</f>
        <v/>
      </c>
      <c r="D95" s="5" t="str">
        <f>IF(数据!B95=0,"",数据!I95&amp;数据!$I$1&amp;数据!J95&amp;数据!$J$1&amp;数据!K95&amp;数据!$K$1&amp;数据!L95&amp;数据!$L$1&amp;数据!M95&amp;数据!$M$1)</f>
        <v/>
      </c>
      <c r="E95" s="1" t="str">
        <f>IF(数据!B95=0,"",数据!N95)</f>
        <v/>
      </c>
      <c r="F95" s="1" t="str">
        <f>IF(数据!B95=0,"",数据!O95)</f>
        <v/>
      </c>
      <c r="G95" t="str">
        <f>IF(数据!B95=0,"",数据!P95)</f>
        <v/>
      </c>
    </row>
    <row r="96" spans="1:7" x14ac:dyDescent="0.15">
      <c r="A96" s="6" t="str">
        <f>IF(数据!B96=0,"",数据!B96)</f>
        <v/>
      </c>
      <c r="B96" s="1" t="str">
        <f>IF(数据!B96=0,"",数据!D96)</f>
        <v/>
      </c>
      <c r="C96" s="1" t="str">
        <f>IF(数据!B96=0,"",数据!F96&amp;"-"&amp;数据!G96)</f>
        <v/>
      </c>
      <c r="D96" s="5" t="str">
        <f>IF(数据!B96=0,"",数据!I96&amp;数据!$I$1&amp;数据!J96&amp;数据!$J$1&amp;数据!K96&amp;数据!$K$1&amp;数据!L96&amp;数据!$L$1&amp;数据!M96&amp;数据!$M$1)</f>
        <v/>
      </c>
      <c r="E96" s="1" t="str">
        <f>IF(数据!B96=0,"",数据!N96)</f>
        <v/>
      </c>
      <c r="F96" s="1" t="str">
        <f>IF(数据!B96=0,"",数据!O96)</f>
        <v/>
      </c>
      <c r="G96" t="str">
        <f>IF(数据!B96=0,"",数据!P96)</f>
        <v/>
      </c>
    </row>
    <row r="97" spans="1:7" x14ac:dyDescent="0.15">
      <c r="A97" s="6" t="str">
        <f>IF(数据!B97=0,"",数据!B97)</f>
        <v/>
      </c>
      <c r="B97" s="1" t="str">
        <f>IF(数据!B97=0,"",数据!D97)</f>
        <v/>
      </c>
      <c r="C97" s="1" t="str">
        <f>IF(数据!B97=0,"",数据!F97&amp;"-"&amp;数据!G97)</f>
        <v/>
      </c>
      <c r="D97" s="5" t="str">
        <f>IF(数据!B97=0,"",数据!I97&amp;数据!$I$1&amp;数据!J97&amp;数据!$J$1&amp;数据!K97&amp;数据!$K$1&amp;数据!L97&amp;数据!$L$1&amp;数据!M97&amp;数据!$M$1)</f>
        <v/>
      </c>
      <c r="E97" s="1" t="str">
        <f>IF(数据!B97=0,"",数据!N97)</f>
        <v/>
      </c>
      <c r="F97" s="1" t="str">
        <f>IF(数据!B97=0,"",数据!O97)</f>
        <v/>
      </c>
      <c r="G97" t="str">
        <f>IF(数据!B97=0,"",数据!P97)</f>
        <v/>
      </c>
    </row>
    <row r="98" spans="1:7" x14ac:dyDescent="0.15">
      <c r="A98" s="6" t="str">
        <f>IF(数据!B98=0,"",数据!B98)</f>
        <v/>
      </c>
      <c r="B98" s="1" t="str">
        <f>IF(数据!B98=0,"",数据!D98)</f>
        <v/>
      </c>
      <c r="C98" s="1" t="str">
        <f>IF(数据!B98=0,"",数据!F98&amp;"-"&amp;数据!G98)</f>
        <v/>
      </c>
      <c r="D98" s="5" t="str">
        <f>IF(数据!B98=0,"",数据!I98&amp;数据!$I$1&amp;数据!J98&amp;数据!$J$1&amp;数据!K98&amp;数据!$K$1&amp;数据!L98&amp;数据!$L$1&amp;数据!M98&amp;数据!$M$1)</f>
        <v/>
      </c>
      <c r="E98" s="1" t="str">
        <f>IF(数据!B98=0,"",数据!N98)</f>
        <v/>
      </c>
      <c r="F98" s="1" t="str">
        <f>IF(数据!B98=0,"",数据!O98)</f>
        <v/>
      </c>
      <c r="G98" t="str">
        <f>IF(数据!B98=0,"",数据!P98)</f>
        <v/>
      </c>
    </row>
    <row r="99" spans="1:7" x14ac:dyDescent="0.15">
      <c r="A99" s="6" t="str">
        <f>IF(数据!B99=0,"",数据!B99)</f>
        <v/>
      </c>
      <c r="B99" s="1" t="str">
        <f>IF(数据!B99=0,"",数据!D99)</f>
        <v/>
      </c>
      <c r="C99" s="1" t="str">
        <f>IF(数据!B99=0,"",数据!F99&amp;"-"&amp;数据!G99)</f>
        <v/>
      </c>
      <c r="D99" s="5" t="str">
        <f>IF(数据!B99=0,"",数据!I99&amp;数据!$I$1&amp;数据!J99&amp;数据!$J$1&amp;数据!K99&amp;数据!$K$1&amp;数据!L99&amp;数据!$L$1&amp;数据!M99&amp;数据!$M$1)</f>
        <v/>
      </c>
      <c r="E99" s="1" t="str">
        <f>IF(数据!B99=0,"",数据!N99)</f>
        <v/>
      </c>
      <c r="F99" s="1" t="str">
        <f>IF(数据!B99=0,"",数据!O99)</f>
        <v/>
      </c>
      <c r="G99" t="str">
        <f>IF(数据!B99=0,"",数据!P99)</f>
        <v/>
      </c>
    </row>
    <row r="100" spans="1:7" x14ac:dyDescent="0.15">
      <c r="A100" s="6" t="str">
        <f>IF(数据!B100=0,"",数据!B100)</f>
        <v/>
      </c>
      <c r="B100" s="1" t="str">
        <f>IF(数据!B100=0,"",数据!D100)</f>
        <v/>
      </c>
      <c r="C100" s="1" t="str">
        <f>IF(数据!B100=0,"",数据!F100&amp;"-"&amp;数据!G100)</f>
        <v/>
      </c>
      <c r="D100" s="5" t="str">
        <f>IF(数据!B100=0,"",数据!I100&amp;数据!$I$1&amp;数据!J100&amp;数据!$J$1&amp;数据!K100&amp;数据!$K$1&amp;数据!L100&amp;数据!$L$1&amp;数据!M100&amp;数据!$M$1)</f>
        <v/>
      </c>
      <c r="E100" s="1" t="str">
        <f>IF(数据!B100=0,"",数据!N100)</f>
        <v/>
      </c>
      <c r="F100" s="1" t="str">
        <f>IF(数据!B100=0,"",数据!O100)</f>
        <v/>
      </c>
      <c r="G100" t="str">
        <f>IF(数据!B100=0,"",数据!P100)</f>
        <v/>
      </c>
    </row>
    <row r="101" spans="1:7" x14ac:dyDescent="0.15">
      <c r="A101" s="6" t="str">
        <f>IF(数据!B101=0,"",数据!B101)</f>
        <v/>
      </c>
      <c r="B101" s="1" t="str">
        <f>IF(数据!B101=0,"",数据!D101)</f>
        <v/>
      </c>
      <c r="C101" s="1" t="str">
        <f>IF(数据!B101=0,"",数据!F101&amp;"-"&amp;数据!G101)</f>
        <v/>
      </c>
      <c r="D101" s="5" t="str">
        <f>IF(数据!B101=0,"",数据!I101&amp;数据!$I$1&amp;数据!J101&amp;数据!$J$1&amp;数据!K101&amp;数据!$K$1&amp;数据!L101&amp;数据!$L$1&amp;数据!M101&amp;数据!$M$1)</f>
        <v/>
      </c>
      <c r="E101" s="1" t="str">
        <f>IF(数据!B101=0,"",数据!N101)</f>
        <v/>
      </c>
      <c r="F101" s="1" t="str">
        <f>IF(数据!B101=0,"",数据!O101)</f>
        <v/>
      </c>
      <c r="G101" t="str">
        <f>IF(数据!B101=0,"",数据!P101)</f>
        <v/>
      </c>
    </row>
    <row r="102" spans="1:7" x14ac:dyDescent="0.15">
      <c r="A102" s="6" t="str">
        <f>IF(数据!B102=0,"",数据!B102)</f>
        <v/>
      </c>
      <c r="B102" s="1" t="str">
        <f>IF(数据!B102=0,"",数据!D102)</f>
        <v/>
      </c>
      <c r="C102" s="1" t="str">
        <f>IF(数据!B102=0,"",数据!F102&amp;"-"&amp;数据!G102)</f>
        <v/>
      </c>
      <c r="D102" s="5" t="str">
        <f>IF(数据!B102=0,"",数据!I102&amp;数据!$I$1&amp;数据!J102&amp;数据!$J$1&amp;数据!K102&amp;数据!$K$1&amp;数据!L102&amp;数据!$L$1&amp;数据!M102&amp;数据!$M$1)</f>
        <v/>
      </c>
      <c r="E102" s="1" t="str">
        <f>IF(数据!B102=0,"",数据!N102)</f>
        <v/>
      </c>
      <c r="F102" s="1" t="str">
        <f>IF(数据!B102=0,"",数据!O102)</f>
        <v/>
      </c>
      <c r="G102" t="str">
        <f>IF(数据!B102=0,"",数据!P102)</f>
        <v/>
      </c>
    </row>
    <row r="103" spans="1:7" x14ac:dyDescent="0.15">
      <c r="A103" s="6" t="str">
        <f>IF(数据!B103=0,"",数据!B103)</f>
        <v/>
      </c>
      <c r="B103" s="1" t="str">
        <f>IF(数据!B103=0,"",数据!D103)</f>
        <v/>
      </c>
      <c r="C103" s="1" t="str">
        <f>IF(数据!B103=0,"",数据!F103&amp;"-"&amp;数据!G103)</f>
        <v/>
      </c>
      <c r="D103" s="5" t="str">
        <f>IF(数据!B103=0,"",数据!I103&amp;数据!$I$1&amp;数据!J103&amp;数据!$J$1&amp;数据!K103&amp;数据!$K$1&amp;数据!L103&amp;数据!$L$1&amp;数据!M103&amp;数据!$M$1)</f>
        <v/>
      </c>
      <c r="E103" s="1" t="str">
        <f>IF(数据!B103=0,"",数据!N103)</f>
        <v/>
      </c>
      <c r="F103" s="1" t="str">
        <f>IF(数据!B103=0,"",数据!O103)</f>
        <v/>
      </c>
      <c r="G103" t="str">
        <f>IF(数据!B103=0,"",数据!P103)</f>
        <v/>
      </c>
    </row>
    <row r="104" spans="1:7" x14ac:dyDescent="0.15">
      <c r="A104" s="6" t="str">
        <f>IF(数据!B104=0,"",数据!B104)</f>
        <v/>
      </c>
      <c r="B104" s="1" t="str">
        <f>IF(数据!B104=0,"",数据!D104)</f>
        <v/>
      </c>
      <c r="C104" s="1" t="str">
        <f>IF(数据!B104=0,"",数据!F104&amp;"-"&amp;数据!G104)</f>
        <v/>
      </c>
      <c r="D104" s="5" t="str">
        <f>IF(数据!B104=0,"",数据!I104&amp;数据!$I$1&amp;数据!J104&amp;数据!$J$1&amp;数据!K104&amp;数据!$K$1&amp;数据!L104&amp;数据!$L$1&amp;数据!M104&amp;数据!$M$1)</f>
        <v/>
      </c>
      <c r="E104" s="1" t="str">
        <f>IF(数据!B104=0,"",数据!N104)</f>
        <v/>
      </c>
      <c r="F104" s="1" t="str">
        <f>IF(数据!B104=0,"",数据!O104)</f>
        <v/>
      </c>
      <c r="G104" t="str">
        <f>IF(数据!B104=0,"",数据!P104)</f>
        <v/>
      </c>
    </row>
    <row r="105" spans="1:7" s="17" customFormat="1" x14ac:dyDescent="0.15">
      <c r="A105" s="6" t="str">
        <f>IF(数据!B115=0,"",数据!B115)</f>
        <v/>
      </c>
      <c r="B105" s="1" t="str">
        <f>IF(数据!B115=0,"",数据!D115)</f>
        <v/>
      </c>
      <c r="C105" s="1" t="str">
        <f>IF(数据!B115=0,"",数据!F115&amp;"-"&amp;数据!G115)</f>
        <v/>
      </c>
      <c r="D105" s="5" t="str">
        <f>IF(数据!B115=0,"",数据!I115&amp;数据!$I$1&amp;数据!J115&amp;数据!$J$1&amp;数据!K115&amp;数据!$K$1&amp;数据!L115&amp;数据!$L$1&amp;数据!M115&amp;数据!$M$1)</f>
        <v/>
      </c>
      <c r="E105" s="1" t="str">
        <f>IF(数据!B115=0,"",数据!N115)</f>
        <v/>
      </c>
      <c r="F105" s="1" t="str">
        <f>IF(数据!B115=0,"",数据!O115)</f>
        <v/>
      </c>
      <c r="G105" t="str">
        <f>IF(数据!B115=0,"",数据!P115)</f>
        <v/>
      </c>
    </row>
    <row r="106" spans="1:7" x14ac:dyDescent="0.15">
      <c r="A106" s="6" t="str">
        <f>IF(数据!B116=0,"",数据!B116)</f>
        <v/>
      </c>
      <c r="B106" s="1" t="str">
        <f>IF(数据!B116=0,"",数据!D116)</f>
        <v/>
      </c>
      <c r="C106" s="1" t="str">
        <f>IF(数据!B116=0,"",数据!F116&amp;"-"&amp;数据!G116)</f>
        <v/>
      </c>
      <c r="D106" s="5" t="str">
        <f>IF(数据!B116=0,"",数据!I116&amp;数据!$I$1&amp;数据!J116&amp;数据!$J$1&amp;数据!K116&amp;数据!$K$1&amp;数据!L116&amp;数据!$L$1&amp;数据!M116&amp;数据!$M$1)</f>
        <v/>
      </c>
      <c r="E106" s="1" t="str">
        <f>IF(数据!B116=0,"",数据!N116)</f>
        <v/>
      </c>
      <c r="F106" s="1" t="str">
        <f>IF(数据!B116=0,"",数据!O116)</f>
        <v/>
      </c>
      <c r="G106" t="str">
        <f>IF(数据!B116=0,"",数据!P116)</f>
        <v/>
      </c>
    </row>
    <row r="107" spans="1:7" x14ac:dyDescent="0.15">
      <c r="A107" s="6" t="str">
        <f>IF(数据!B117=0,"",数据!B117)</f>
        <v/>
      </c>
      <c r="B107" s="1" t="str">
        <f>IF(数据!B117=0,"",数据!D117)</f>
        <v/>
      </c>
      <c r="C107" s="1" t="str">
        <f>IF(数据!B117=0,"",数据!F117&amp;"-"&amp;数据!G117)</f>
        <v/>
      </c>
      <c r="D107" s="5" t="str">
        <f>IF(数据!B117=0,"",数据!I117&amp;数据!$I$1&amp;数据!J117&amp;数据!$J$1&amp;数据!K117&amp;数据!$K$1&amp;数据!L117&amp;数据!$L$1&amp;数据!M117&amp;数据!$M$1)</f>
        <v/>
      </c>
      <c r="E107" s="1" t="str">
        <f>IF(数据!B117=0,"",数据!N117)</f>
        <v/>
      </c>
      <c r="F107" s="1" t="str">
        <f>IF(数据!B117=0,"",数据!O117)</f>
        <v/>
      </c>
      <c r="G107" t="str">
        <f>IF(数据!B117=0,"",数据!P117)</f>
        <v/>
      </c>
    </row>
    <row r="108" spans="1:7" x14ac:dyDescent="0.15">
      <c r="A108" s="6" t="str">
        <f>IF(数据!B118=0,"",数据!B118)</f>
        <v/>
      </c>
      <c r="B108" s="1" t="str">
        <f>IF(数据!B118=0,"",数据!D118)</f>
        <v/>
      </c>
      <c r="C108" s="1" t="str">
        <f>IF(数据!B118=0,"",数据!F118&amp;"-"&amp;数据!G118)</f>
        <v/>
      </c>
      <c r="D108" s="5" t="str">
        <f>IF(数据!B118=0,"",数据!I118&amp;数据!$I$1&amp;数据!J118&amp;数据!$J$1&amp;数据!K118&amp;数据!$K$1&amp;数据!L118&amp;数据!$L$1&amp;数据!M118&amp;数据!$M$1)</f>
        <v/>
      </c>
      <c r="E108" s="1" t="str">
        <f>IF(数据!B118=0,"",数据!N118)</f>
        <v/>
      </c>
      <c r="F108" s="1" t="str">
        <f>IF(数据!B118=0,"",数据!O118)</f>
        <v/>
      </c>
      <c r="G108" t="str">
        <f>IF(数据!B118=0,"",数据!P118)</f>
        <v/>
      </c>
    </row>
    <row r="109" spans="1:7" x14ac:dyDescent="0.15">
      <c r="A109" s="6" t="str">
        <f>IF(数据!B119=0,"",数据!B119)</f>
        <v/>
      </c>
      <c r="B109" s="1" t="str">
        <f>IF(数据!B119=0,"",数据!D119)</f>
        <v/>
      </c>
      <c r="C109" s="1" t="str">
        <f>IF(数据!B119=0,"",数据!F119&amp;"-"&amp;数据!G119)</f>
        <v/>
      </c>
      <c r="D109" s="5" t="str">
        <f>IF(数据!B119=0,"",数据!I119&amp;数据!$I$1&amp;数据!J119&amp;数据!$J$1&amp;数据!K119&amp;数据!$K$1&amp;数据!L119&amp;数据!$L$1&amp;数据!M119&amp;数据!$M$1)</f>
        <v/>
      </c>
      <c r="E109" s="1" t="str">
        <f>IF(数据!B119=0,"",数据!N119)</f>
        <v/>
      </c>
      <c r="F109" s="1" t="str">
        <f>IF(数据!B119=0,"",数据!O119)</f>
        <v/>
      </c>
      <c r="G109" t="str">
        <f>IF(数据!B119=0,"",数据!P119)</f>
        <v/>
      </c>
    </row>
    <row r="110" spans="1:7" x14ac:dyDescent="0.15">
      <c r="A110" s="6" t="str">
        <f>IF(数据!B120=0,"",数据!B120)</f>
        <v/>
      </c>
      <c r="B110" s="1" t="str">
        <f>IF(数据!B120=0,"",数据!D120)</f>
        <v/>
      </c>
      <c r="C110" s="1" t="str">
        <f>IF(数据!B120=0,"",数据!F120&amp;"-"&amp;数据!G120)</f>
        <v/>
      </c>
      <c r="D110" s="5" t="str">
        <f>IF(数据!B120=0,"",数据!I120&amp;数据!$I$1&amp;数据!J120&amp;数据!$J$1&amp;数据!K120&amp;数据!$K$1&amp;数据!L120&amp;数据!$L$1&amp;数据!M120&amp;数据!$M$1)</f>
        <v/>
      </c>
      <c r="E110" s="1" t="str">
        <f>IF(数据!B120=0,"",数据!N120)</f>
        <v/>
      </c>
      <c r="F110" s="1" t="str">
        <f>IF(数据!B120=0,"",数据!O120)</f>
        <v/>
      </c>
      <c r="G110" t="str">
        <f>IF(数据!B120=0,"",数据!P120)</f>
        <v/>
      </c>
    </row>
    <row r="111" spans="1:7" x14ac:dyDescent="0.15">
      <c r="A111" s="6" t="str">
        <f>IF(数据!B121=0,"",数据!B121)</f>
        <v/>
      </c>
      <c r="B111" s="1" t="str">
        <f>IF(数据!B121=0,"",数据!D121)</f>
        <v/>
      </c>
      <c r="C111" s="1" t="str">
        <f>IF(数据!B121=0,"",数据!F121&amp;"-"&amp;数据!G121)</f>
        <v/>
      </c>
      <c r="D111" s="5" t="str">
        <f>IF(数据!B121=0,"",数据!I121&amp;数据!$I$1&amp;数据!J121&amp;数据!$J$1&amp;数据!K121&amp;数据!$K$1&amp;数据!L121&amp;数据!$L$1&amp;数据!M121&amp;数据!$M$1)</f>
        <v/>
      </c>
      <c r="E111" s="1" t="str">
        <f>IF(数据!B121=0,"",数据!N121)</f>
        <v/>
      </c>
      <c r="F111" s="1" t="str">
        <f>IF(数据!B121=0,"",数据!O121)</f>
        <v/>
      </c>
      <c r="G111" t="str">
        <f>IF(数据!B121=0,"",数据!P121)</f>
        <v/>
      </c>
    </row>
    <row r="112" spans="1:7" x14ac:dyDescent="0.15">
      <c r="A112" s="6" t="str">
        <f>IF(数据!B122=0,"",数据!B122)</f>
        <v/>
      </c>
      <c r="B112" s="1" t="str">
        <f>IF(数据!B122=0,"",数据!D122)</f>
        <v/>
      </c>
      <c r="C112" s="1" t="str">
        <f>IF(数据!B122=0,"",数据!F122&amp;"-"&amp;数据!G122)</f>
        <v/>
      </c>
      <c r="D112" s="5" t="str">
        <f>IF(数据!B122=0,"",数据!I122&amp;数据!$I$1&amp;数据!J122&amp;数据!$J$1&amp;数据!K122&amp;数据!$K$1&amp;数据!L122&amp;数据!$L$1&amp;数据!M122&amp;数据!$M$1)</f>
        <v/>
      </c>
      <c r="E112" s="1" t="str">
        <f>IF(数据!B122=0,"",数据!N122)</f>
        <v/>
      </c>
      <c r="F112" s="1" t="str">
        <f>IF(数据!B122=0,"",数据!O122)</f>
        <v/>
      </c>
      <c r="G112" t="str">
        <f>IF(数据!B122=0,"",数据!P122)</f>
        <v/>
      </c>
    </row>
    <row r="113" spans="1:7" x14ac:dyDescent="0.15">
      <c r="A113" s="6" t="str">
        <f>IF(数据!B123=0,"",数据!B123)</f>
        <v/>
      </c>
      <c r="B113" s="1" t="str">
        <f>IF(数据!B123=0,"",数据!D123)</f>
        <v/>
      </c>
      <c r="C113" s="1" t="str">
        <f>IF(数据!B123=0,"",数据!F123&amp;"-"&amp;数据!G123)</f>
        <v/>
      </c>
      <c r="D113" s="5" t="str">
        <f>IF(数据!B123=0,"",数据!I123&amp;数据!$I$1&amp;数据!J123&amp;数据!$J$1&amp;数据!K123&amp;数据!$K$1&amp;数据!L123&amp;数据!$L$1&amp;数据!M123&amp;数据!$M$1)</f>
        <v/>
      </c>
      <c r="E113" s="1" t="str">
        <f>IF(数据!B123=0,"",数据!N123)</f>
        <v/>
      </c>
      <c r="F113" s="1" t="str">
        <f>IF(数据!B123=0,"",数据!O123)</f>
        <v/>
      </c>
      <c r="G113" t="str">
        <f>IF(数据!B123=0,"",数据!P123)</f>
        <v/>
      </c>
    </row>
    <row r="114" spans="1:7" x14ac:dyDescent="0.15">
      <c r="A114" s="6" t="str">
        <f>IF(数据!B124=0,"",数据!B124)</f>
        <v/>
      </c>
      <c r="B114" s="1" t="str">
        <f>IF(数据!B124=0,"",数据!D124)</f>
        <v/>
      </c>
      <c r="C114" s="1" t="str">
        <f>IF(数据!B124=0,"",数据!F124&amp;"-"&amp;数据!G124)</f>
        <v/>
      </c>
      <c r="D114" s="5" t="str">
        <f>IF(数据!B124=0,"",数据!I124&amp;数据!$I$1&amp;数据!J124&amp;数据!$J$1&amp;数据!K124&amp;数据!$K$1&amp;数据!L124&amp;数据!$L$1&amp;数据!M124&amp;数据!$M$1)</f>
        <v/>
      </c>
      <c r="E114" s="1" t="str">
        <f>IF(数据!B124=0,"",数据!N124)</f>
        <v/>
      </c>
      <c r="F114" s="1" t="str">
        <f>IF(数据!B124=0,"",数据!O124)</f>
        <v/>
      </c>
      <c r="G114" t="str">
        <f>IF(数据!B124=0,"",数据!P124)</f>
        <v/>
      </c>
    </row>
    <row r="115" spans="1:7" x14ac:dyDescent="0.15">
      <c r="A115" s="6" t="str">
        <f>IF(数据!B125=0,"",数据!B125)</f>
        <v/>
      </c>
      <c r="B115" s="1" t="str">
        <f>IF(数据!B125=0,"",数据!D125)</f>
        <v/>
      </c>
      <c r="C115" s="1" t="str">
        <f>IF(数据!B125=0,"",数据!F125&amp;"-"&amp;数据!G125)</f>
        <v/>
      </c>
      <c r="D115" s="5" t="str">
        <f>IF(数据!B125=0,"",数据!I125&amp;数据!$I$1&amp;数据!J125&amp;数据!$J$1&amp;数据!K125&amp;数据!$K$1&amp;数据!L125&amp;数据!$L$1&amp;数据!M125&amp;数据!$M$1)</f>
        <v/>
      </c>
      <c r="E115" s="1" t="str">
        <f>IF(数据!B125=0,"",数据!N125)</f>
        <v/>
      </c>
      <c r="F115" s="1" t="str">
        <f>IF(数据!B125=0,"",数据!O125)</f>
        <v/>
      </c>
      <c r="G115" t="str">
        <f>IF(数据!B125=0,"",数据!P125)</f>
        <v/>
      </c>
    </row>
    <row r="116" spans="1:7" x14ac:dyDescent="0.15">
      <c r="A116" s="6" t="str">
        <f>IF(数据!B126=0,"",数据!B126)</f>
        <v/>
      </c>
      <c r="B116" s="1" t="str">
        <f>IF(数据!B126=0,"",数据!D126)</f>
        <v/>
      </c>
      <c r="C116" s="1" t="str">
        <f>IF(数据!B126=0,"",数据!F126&amp;"-"&amp;数据!G126)</f>
        <v/>
      </c>
      <c r="D116" s="5" t="str">
        <f>IF(数据!B126=0,"",数据!I126&amp;数据!$I$1&amp;数据!J126&amp;数据!$J$1&amp;数据!K126&amp;数据!$K$1&amp;数据!L126&amp;数据!$L$1&amp;数据!M126&amp;数据!$M$1)</f>
        <v/>
      </c>
      <c r="E116" s="1" t="str">
        <f>IF(数据!B126=0,"",数据!N126)</f>
        <v/>
      </c>
      <c r="F116" s="1" t="str">
        <f>IF(数据!B126=0,"",数据!O126)</f>
        <v/>
      </c>
      <c r="G116" t="str">
        <f>IF(数据!B126=0,"",数据!P126)</f>
        <v/>
      </c>
    </row>
    <row r="117" spans="1:7" x14ac:dyDescent="0.15">
      <c r="A117" s="6" t="str">
        <f>IF(数据!B127=0,"",数据!B127)</f>
        <v/>
      </c>
      <c r="B117" s="1" t="str">
        <f>IF(数据!B127=0,"",数据!D127)</f>
        <v/>
      </c>
      <c r="C117" s="1" t="str">
        <f>IF(数据!B127=0,"",数据!F127&amp;"-"&amp;数据!G127)</f>
        <v/>
      </c>
      <c r="D117" s="5" t="str">
        <f>IF(数据!B127=0,"",数据!I127&amp;数据!$I$1&amp;数据!J127&amp;数据!$J$1&amp;数据!K127&amp;数据!$K$1&amp;数据!L127&amp;数据!$L$1&amp;数据!M127&amp;数据!$M$1)</f>
        <v/>
      </c>
      <c r="E117" s="1" t="str">
        <f>IF(数据!B127=0,"",数据!N127)</f>
        <v/>
      </c>
      <c r="F117" s="1" t="str">
        <f>IF(数据!B127=0,"",数据!O127)</f>
        <v/>
      </c>
      <c r="G117" t="str">
        <f>IF(数据!B127=0,"",数据!P127)</f>
        <v/>
      </c>
    </row>
    <row r="118" spans="1:7" x14ac:dyDescent="0.15">
      <c r="A118" s="6" t="str">
        <f>IF(数据!B128=0,"",数据!B128)</f>
        <v/>
      </c>
      <c r="B118" s="1" t="str">
        <f>IF(数据!B128=0,"",数据!D128)</f>
        <v/>
      </c>
      <c r="C118" s="1" t="str">
        <f>IF(数据!B128=0,"",数据!F128&amp;"-"&amp;数据!G128)</f>
        <v/>
      </c>
      <c r="D118" s="5" t="str">
        <f>IF(数据!B128=0,"",数据!I128&amp;数据!$I$1&amp;数据!J128&amp;数据!$J$1&amp;数据!K128&amp;数据!$K$1&amp;数据!L128&amp;数据!$L$1&amp;数据!M128&amp;数据!$M$1)</f>
        <v/>
      </c>
      <c r="E118" s="1" t="str">
        <f>IF(数据!B128=0,"",数据!N128)</f>
        <v/>
      </c>
      <c r="F118" s="1" t="str">
        <f>IF(数据!B128=0,"",数据!O128)</f>
        <v/>
      </c>
      <c r="G118" t="str">
        <f>IF(数据!B128=0,"",数据!P128)</f>
        <v/>
      </c>
    </row>
    <row r="119" spans="1:7" x14ac:dyDescent="0.15">
      <c r="A119" s="6" t="str">
        <f>IF(数据!B129=0,"",数据!B129)</f>
        <v/>
      </c>
      <c r="B119" s="1" t="str">
        <f>IF(数据!B129=0,"",数据!D129)</f>
        <v/>
      </c>
      <c r="C119" s="1" t="str">
        <f>IF(数据!B129=0,"",数据!F129&amp;"-"&amp;数据!G129)</f>
        <v/>
      </c>
      <c r="D119" s="5" t="str">
        <f>IF(数据!B129=0,"",数据!I129&amp;数据!$I$1&amp;数据!J129&amp;数据!$J$1&amp;数据!K129&amp;数据!$K$1&amp;数据!L129&amp;数据!$L$1&amp;数据!M129&amp;数据!$M$1)</f>
        <v/>
      </c>
      <c r="E119" s="1" t="str">
        <f>IF(数据!B129=0,"",数据!N129)</f>
        <v/>
      </c>
      <c r="F119" s="1" t="str">
        <f>IF(数据!B129=0,"",数据!O129)</f>
        <v/>
      </c>
      <c r="G119" t="str">
        <f>IF(数据!B129=0,"",数据!P129)</f>
        <v/>
      </c>
    </row>
    <row r="120" spans="1:7" x14ac:dyDescent="0.15">
      <c r="A120" s="6" t="str">
        <f>IF(数据!B130=0,"",数据!B130)</f>
        <v/>
      </c>
      <c r="B120" s="1" t="str">
        <f>IF(数据!B130=0,"",数据!D130)</f>
        <v/>
      </c>
      <c r="C120" s="1" t="str">
        <f>IF(数据!B130=0,"",数据!F130&amp;"-"&amp;数据!G130)</f>
        <v/>
      </c>
      <c r="D120" s="5" t="str">
        <f>IF(数据!B130=0,"",数据!I130&amp;数据!$I$1&amp;数据!J130&amp;数据!$J$1&amp;数据!K130&amp;数据!$K$1&amp;数据!L130&amp;数据!$L$1&amp;数据!M130&amp;数据!$M$1)</f>
        <v/>
      </c>
      <c r="E120" s="1" t="str">
        <f>IF(数据!B130=0,"",数据!N130)</f>
        <v/>
      </c>
      <c r="F120" s="1" t="str">
        <f>IF(数据!B130=0,"",数据!O130)</f>
        <v/>
      </c>
      <c r="G120" t="str">
        <f>IF(数据!B130=0,"",数据!P130)</f>
        <v/>
      </c>
    </row>
    <row r="121" spans="1:7" x14ac:dyDescent="0.15">
      <c r="A121" s="6" t="str">
        <f>IF(数据!B131=0,"",数据!B131)</f>
        <v/>
      </c>
      <c r="B121" s="1" t="str">
        <f>IF(数据!B131=0,"",数据!D131)</f>
        <v/>
      </c>
      <c r="C121" s="1" t="str">
        <f>IF(数据!B131=0,"",数据!F131&amp;"-"&amp;数据!G131)</f>
        <v/>
      </c>
      <c r="D121" s="5" t="str">
        <f>IF(数据!B131=0,"",数据!I131&amp;数据!$I$1&amp;数据!J131&amp;数据!$J$1&amp;数据!K131&amp;数据!$K$1&amp;数据!L131&amp;数据!$L$1&amp;数据!M131&amp;数据!$M$1)</f>
        <v/>
      </c>
      <c r="E121" s="1" t="str">
        <f>IF(数据!B131=0,"",数据!N131)</f>
        <v/>
      </c>
      <c r="F121" s="1" t="str">
        <f>IF(数据!B131=0,"",数据!O131)</f>
        <v/>
      </c>
      <c r="G121" t="str">
        <f>IF(数据!B131=0,"",数据!P131)</f>
        <v/>
      </c>
    </row>
    <row r="122" spans="1:7" x14ac:dyDescent="0.15">
      <c r="A122" s="6" t="str">
        <f>IF(数据!B132=0,"",数据!B132)</f>
        <v/>
      </c>
      <c r="B122" s="1" t="str">
        <f>IF(数据!B132=0,"",数据!D132)</f>
        <v/>
      </c>
      <c r="C122" s="1" t="str">
        <f>IF(数据!B132=0,"",数据!F132&amp;"-"&amp;数据!G132)</f>
        <v/>
      </c>
      <c r="D122" s="5" t="str">
        <f>IF(数据!B132=0,"",数据!I132&amp;数据!$I$1&amp;数据!J132&amp;数据!$J$1&amp;数据!K132&amp;数据!$K$1&amp;数据!L132&amp;数据!$L$1&amp;数据!M132&amp;数据!$M$1)</f>
        <v/>
      </c>
      <c r="E122" s="1" t="str">
        <f>IF(数据!B132=0,"",数据!N132)</f>
        <v/>
      </c>
      <c r="F122" s="1" t="str">
        <f>IF(数据!B132=0,"",数据!O132)</f>
        <v/>
      </c>
      <c r="G122" t="str">
        <f>IF(数据!B132=0,"",数据!P132)</f>
        <v/>
      </c>
    </row>
    <row r="123" spans="1:7" x14ac:dyDescent="0.15">
      <c r="A123" s="6" t="str">
        <f>IF(数据!B133=0,"",数据!B133)</f>
        <v/>
      </c>
      <c r="B123" s="1" t="str">
        <f>IF(数据!B133=0,"",数据!D133)</f>
        <v/>
      </c>
      <c r="C123" s="1" t="str">
        <f>IF(数据!B133=0,"",数据!F133&amp;"-"&amp;数据!G133)</f>
        <v/>
      </c>
      <c r="D123" s="5" t="str">
        <f>IF(数据!B133=0,"",数据!I133&amp;数据!$I$1&amp;数据!J133&amp;数据!$J$1&amp;数据!K133&amp;数据!$K$1&amp;数据!L133&amp;数据!$L$1&amp;数据!M133&amp;数据!$M$1)</f>
        <v/>
      </c>
      <c r="E123" s="1" t="str">
        <f>IF(数据!B133=0,"",数据!N133)</f>
        <v/>
      </c>
      <c r="F123" s="1" t="str">
        <f>IF(数据!B133=0,"",数据!O133)</f>
        <v/>
      </c>
      <c r="G123" t="str">
        <f>IF(数据!B133=0,"",数据!P133)</f>
        <v/>
      </c>
    </row>
    <row r="124" spans="1:7" x14ac:dyDescent="0.15">
      <c r="A124" s="6" t="str">
        <f>IF(数据!B134=0,"",数据!B134)</f>
        <v/>
      </c>
      <c r="B124" s="1" t="str">
        <f>IF(数据!B134=0,"",数据!D134)</f>
        <v/>
      </c>
      <c r="C124" s="1" t="str">
        <f>IF(数据!B134=0,"",数据!F134&amp;"-"&amp;数据!G134)</f>
        <v/>
      </c>
      <c r="D124" s="5" t="str">
        <f>IF(数据!B134=0,"",数据!I134&amp;数据!$I$1&amp;数据!J134&amp;数据!$J$1&amp;数据!K134&amp;数据!$K$1&amp;数据!L134&amp;数据!$L$1&amp;数据!M134&amp;数据!$M$1)</f>
        <v/>
      </c>
      <c r="E124" s="1" t="str">
        <f>IF(数据!B134=0,"",数据!N134)</f>
        <v/>
      </c>
      <c r="F124" s="1" t="str">
        <f>IF(数据!B134=0,"",数据!O134)</f>
        <v/>
      </c>
      <c r="G124" t="str">
        <f>IF(数据!B134=0,"",数据!P134)</f>
        <v/>
      </c>
    </row>
    <row r="125" spans="1:7" x14ac:dyDescent="0.15">
      <c r="A125" s="6" t="str">
        <f>IF(数据!B135=0,"",数据!B135)</f>
        <v/>
      </c>
      <c r="B125" s="1" t="str">
        <f>IF(数据!B135=0,"",数据!D135)</f>
        <v/>
      </c>
      <c r="C125" s="1" t="str">
        <f>IF(数据!B135=0,"",数据!F135&amp;"-"&amp;数据!G135)</f>
        <v/>
      </c>
      <c r="D125" s="5" t="str">
        <f>IF(数据!B135=0,"",数据!I135&amp;数据!$I$1&amp;数据!J135&amp;数据!$J$1&amp;数据!K135&amp;数据!$K$1&amp;数据!L135&amp;数据!$L$1&amp;数据!M135&amp;数据!$M$1)</f>
        <v/>
      </c>
      <c r="E125" s="1" t="str">
        <f>IF(数据!B135=0,"",数据!N135)</f>
        <v/>
      </c>
      <c r="F125" s="1" t="str">
        <f>IF(数据!B135=0,"",数据!O135)</f>
        <v/>
      </c>
      <c r="G125" t="str">
        <f>IF(数据!B135=0,"",数据!P135)</f>
        <v/>
      </c>
    </row>
    <row r="126" spans="1:7" x14ac:dyDescent="0.15">
      <c r="A126" s="6" t="str">
        <f>IF(数据!B136=0,"",数据!B136)</f>
        <v/>
      </c>
      <c r="B126" s="1" t="str">
        <f>IF(数据!B136=0,"",数据!D136)</f>
        <v/>
      </c>
      <c r="C126" s="1" t="str">
        <f>IF(数据!B136=0,"",数据!F136&amp;"-"&amp;数据!G136)</f>
        <v/>
      </c>
      <c r="D126" s="5" t="str">
        <f>IF(数据!B136=0,"",数据!I136&amp;数据!$I$1&amp;数据!J136&amp;数据!$J$1&amp;数据!K136&amp;数据!$K$1&amp;数据!L136&amp;数据!$L$1&amp;数据!M136&amp;数据!$M$1)</f>
        <v/>
      </c>
      <c r="E126" s="1" t="str">
        <f>IF(数据!B136=0,"",数据!N136)</f>
        <v/>
      </c>
      <c r="F126" s="1" t="str">
        <f>IF(数据!B136=0,"",数据!O136)</f>
        <v/>
      </c>
      <c r="G126" t="str">
        <f>IF(数据!B136=0,"",数据!P136)</f>
        <v/>
      </c>
    </row>
    <row r="127" spans="1:7" x14ac:dyDescent="0.15">
      <c r="A127" s="6" t="str">
        <f>IF(数据!B137=0,"",数据!B137)</f>
        <v/>
      </c>
      <c r="B127" s="1" t="str">
        <f>IF(数据!B137=0,"",数据!D137)</f>
        <v/>
      </c>
      <c r="C127" s="1" t="str">
        <f>IF(数据!B137=0,"",数据!F137&amp;"-"&amp;数据!G137)</f>
        <v/>
      </c>
      <c r="D127" s="5" t="str">
        <f>IF(数据!B137=0,"",数据!I137&amp;数据!$I$1&amp;数据!J137&amp;数据!$J$1&amp;数据!K137&amp;数据!$K$1&amp;数据!L137&amp;数据!$L$1&amp;数据!M137&amp;数据!$M$1)</f>
        <v/>
      </c>
      <c r="E127" s="1" t="str">
        <f>IF(数据!B137=0,"",数据!N137)</f>
        <v/>
      </c>
      <c r="F127" s="1" t="str">
        <f>IF(数据!B137=0,"",数据!O137)</f>
        <v/>
      </c>
      <c r="G127" t="str">
        <f>IF(数据!B137=0,"",数据!P137)</f>
        <v/>
      </c>
    </row>
    <row r="128" spans="1:7" x14ac:dyDescent="0.15">
      <c r="A128" s="6" t="str">
        <f>IF(数据!B138=0,"",数据!B138)</f>
        <v/>
      </c>
      <c r="B128" s="1" t="str">
        <f>IF(数据!B138=0,"",数据!D138)</f>
        <v/>
      </c>
      <c r="C128" s="1" t="str">
        <f>IF(数据!B138=0,"",数据!F138&amp;"-"&amp;数据!G138)</f>
        <v/>
      </c>
      <c r="D128" s="5" t="str">
        <f>IF(数据!B138=0,"",数据!I138&amp;数据!$I$1&amp;数据!J138&amp;数据!$J$1&amp;数据!K138&amp;数据!$K$1&amp;数据!L138&amp;数据!$L$1&amp;数据!M138&amp;数据!$M$1)</f>
        <v/>
      </c>
      <c r="E128" s="1" t="str">
        <f>IF(数据!B138=0,"",数据!N138)</f>
        <v/>
      </c>
      <c r="F128" s="1" t="str">
        <f>IF(数据!B138=0,"",数据!O138)</f>
        <v/>
      </c>
      <c r="G128" t="str">
        <f>IF(数据!B138=0,"",数据!P138)</f>
        <v/>
      </c>
    </row>
    <row r="129" spans="1:7" x14ac:dyDescent="0.15">
      <c r="A129" s="6" t="str">
        <f>IF(数据!B139=0,"",数据!B139)</f>
        <v/>
      </c>
      <c r="B129" s="1" t="str">
        <f>IF(数据!B139=0,"",数据!D139)</f>
        <v/>
      </c>
      <c r="C129" s="1" t="str">
        <f>IF(数据!B139=0,"",数据!F139&amp;"-"&amp;数据!G139)</f>
        <v/>
      </c>
      <c r="D129" s="5" t="str">
        <f>IF(数据!B139=0,"",数据!I139&amp;数据!$I$1&amp;数据!J139&amp;数据!$J$1&amp;数据!K139&amp;数据!$K$1&amp;数据!L139&amp;数据!$L$1&amp;数据!M139&amp;数据!$M$1)</f>
        <v/>
      </c>
      <c r="E129" s="1" t="str">
        <f>IF(数据!B139=0,"",数据!N139)</f>
        <v/>
      </c>
      <c r="F129" s="1" t="str">
        <f>IF(数据!B139=0,"",数据!O139)</f>
        <v/>
      </c>
      <c r="G129" t="str">
        <f>IF(数据!B139=0,"",数据!P139)</f>
        <v/>
      </c>
    </row>
    <row r="130" spans="1:7" x14ac:dyDescent="0.15">
      <c r="A130" s="6" t="str">
        <f>IF(数据!B140=0,"",数据!B140)</f>
        <v/>
      </c>
      <c r="B130" s="1" t="str">
        <f>IF(数据!B140=0,"",数据!D140)</f>
        <v/>
      </c>
      <c r="C130" s="1" t="str">
        <f>IF(数据!B140=0,"",数据!F140&amp;"-"&amp;数据!G140)</f>
        <v/>
      </c>
      <c r="D130" s="5" t="str">
        <f>IF(数据!B140=0,"",数据!I140&amp;数据!$I$1&amp;数据!J140&amp;数据!$J$1&amp;数据!K140&amp;数据!$K$1&amp;数据!L140&amp;数据!$L$1&amp;数据!M140&amp;数据!$M$1)</f>
        <v/>
      </c>
      <c r="E130" s="1" t="str">
        <f>IF(数据!B140=0,"",数据!N140)</f>
        <v/>
      </c>
      <c r="F130" s="1" t="str">
        <f>IF(数据!B140=0,"",数据!O140)</f>
        <v/>
      </c>
      <c r="G130" t="str">
        <f>IF(数据!B140=0,"",数据!P140)</f>
        <v/>
      </c>
    </row>
    <row r="131" spans="1:7" x14ac:dyDescent="0.15">
      <c r="A131" s="6" t="str">
        <f>IF(数据!B141=0,"",数据!B141)</f>
        <v/>
      </c>
      <c r="B131" s="1" t="str">
        <f>IF(数据!B141=0,"",数据!D141)</f>
        <v/>
      </c>
      <c r="C131" s="1" t="str">
        <f>IF(数据!B141=0,"",数据!F141&amp;"-"&amp;数据!G141)</f>
        <v/>
      </c>
      <c r="D131" s="5" t="str">
        <f>IF(数据!B141=0,"",数据!I141&amp;数据!$I$1&amp;数据!J141&amp;数据!$J$1&amp;数据!K141&amp;数据!$K$1&amp;数据!L141&amp;数据!$L$1&amp;数据!M141&amp;数据!$M$1)</f>
        <v/>
      </c>
      <c r="E131" s="1" t="str">
        <f>IF(数据!B141=0,"",数据!N141)</f>
        <v/>
      </c>
      <c r="F131" s="1" t="str">
        <f>IF(数据!B141=0,"",数据!O141)</f>
        <v/>
      </c>
      <c r="G131" t="str">
        <f>IF(数据!B141=0,"",数据!P141)</f>
        <v/>
      </c>
    </row>
    <row r="132" spans="1:7" x14ac:dyDescent="0.15">
      <c r="A132" s="6" t="str">
        <f>IF(数据!B142=0,"",数据!B142)</f>
        <v/>
      </c>
      <c r="B132" s="1" t="str">
        <f>IF(数据!B142=0,"",数据!D142)</f>
        <v/>
      </c>
      <c r="C132" s="1" t="str">
        <f>IF(数据!B142=0,"",数据!F142&amp;"-"&amp;数据!G142)</f>
        <v/>
      </c>
      <c r="D132" s="5" t="str">
        <f>IF(数据!B142=0,"",数据!I142&amp;数据!$I$1&amp;数据!J142&amp;数据!$J$1&amp;数据!K142&amp;数据!$K$1&amp;数据!L142&amp;数据!$L$1&amp;数据!M142&amp;数据!$M$1)</f>
        <v/>
      </c>
      <c r="E132" s="1" t="str">
        <f>IF(数据!B142=0,"",数据!N142)</f>
        <v/>
      </c>
      <c r="F132" s="1" t="str">
        <f>IF(数据!B142=0,"",数据!O142)</f>
        <v/>
      </c>
      <c r="G132" t="str">
        <f>IF(数据!B142=0,"",数据!P142)</f>
        <v/>
      </c>
    </row>
    <row r="133" spans="1:7" x14ac:dyDescent="0.15">
      <c r="A133" s="6" t="str">
        <f>IF(数据!B143=0,"",数据!B143)</f>
        <v/>
      </c>
      <c r="B133" s="1" t="str">
        <f>IF(数据!B143=0,"",数据!D143)</f>
        <v/>
      </c>
      <c r="C133" s="1" t="str">
        <f>IF(数据!B143=0,"",数据!F143&amp;"-"&amp;数据!G143)</f>
        <v/>
      </c>
      <c r="D133" s="5" t="str">
        <f>IF(数据!B143=0,"",数据!I143&amp;数据!$I$1&amp;数据!J143&amp;数据!$J$1&amp;数据!K143&amp;数据!$K$1&amp;数据!L143&amp;数据!$L$1&amp;数据!M143&amp;数据!$M$1)</f>
        <v/>
      </c>
      <c r="E133" s="1" t="str">
        <f>IF(数据!B143=0,"",数据!N143)</f>
        <v/>
      </c>
      <c r="F133" s="1" t="str">
        <f>IF(数据!B143=0,"",数据!O143)</f>
        <v/>
      </c>
      <c r="G133" t="str">
        <f>IF(数据!B143=0,"",数据!P143)</f>
        <v/>
      </c>
    </row>
    <row r="134" spans="1:7" x14ac:dyDescent="0.15">
      <c r="A134" s="6" t="str">
        <f>IF(数据!B144=0,"",数据!B144)</f>
        <v/>
      </c>
      <c r="B134" s="1" t="str">
        <f>IF(数据!B144=0,"",数据!D144)</f>
        <v/>
      </c>
      <c r="C134" s="1" t="str">
        <f>IF(数据!B144=0,"",数据!F144&amp;"-"&amp;数据!G144)</f>
        <v/>
      </c>
      <c r="D134" s="5" t="str">
        <f>IF(数据!B144=0,"",数据!I144&amp;数据!$I$1&amp;数据!J144&amp;数据!$J$1&amp;数据!K144&amp;数据!$K$1&amp;数据!L144&amp;数据!$L$1&amp;数据!M144&amp;数据!$M$1)</f>
        <v/>
      </c>
      <c r="E134" s="1" t="str">
        <f>IF(数据!B144=0,"",数据!N144)</f>
        <v/>
      </c>
      <c r="F134" s="1" t="str">
        <f>IF(数据!B144=0,"",数据!O144)</f>
        <v/>
      </c>
      <c r="G134" t="str">
        <f>IF(数据!B144=0,"",数据!P144)</f>
        <v/>
      </c>
    </row>
    <row r="135" spans="1:7" x14ac:dyDescent="0.15">
      <c r="A135" s="6" t="str">
        <f>IF(数据!B145=0,"",数据!B145)</f>
        <v/>
      </c>
      <c r="B135" s="1" t="str">
        <f>IF(数据!B145=0,"",数据!D145)</f>
        <v/>
      </c>
      <c r="C135" s="1" t="str">
        <f>IF(数据!B145=0,"",数据!F145&amp;"-"&amp;数据!G145)</f>
        <v/>
      </c>
      <c r="D135" s="5" t="str">
        <f>IF(数据!B145=0,"",数据!I145&amp;数据!$I$1&amp;数据!J145&amp;数据!$J$1&amp;数据!K145&amp;数据!$K$1&amp;数据!L145&amp;数据!$L$1&amp;数据!M145&amp;数据!$M$1)</f>
        <v/>
      </c>
      <c r="E135" s="1" t="str">
        <f>IF(数据!B145=0,"",数据!N145)</f>
        <v/>
      </c>
      <c r="F135" s="1" t="str">
        <f>IF(数据!B145=0,"",数据!O145)</f>
        <v/>
      </c>
      <c r="G135" t="str">
        <f>IF(数据!B145=0,"",数据!P145)</f>
        <v/>
      </c>
    </row>
    <row r="136" spans="1:7" x14ac:dyDescent="0.15">
      <c r="A136" s="6" t="str">
        <f>IF(数据!B146=0,"",数据!B146)</f>
        <v/>
      </c>
      <c r="B136" s="1" t="str">
        <f>IF(数据!B146=0,"",数据!D146)</f>
        <v/>
      </c>
      <c r="C136" s="1" t="str">
        <f>IF(数据!B146=0,"",数据!F146&amp;"-"&amp;数据!G146)</f>
        <v/>
      </c>
      <c r="D136" s="5" t="str">
        <f>IF(数据!B146=0,"",数据!I146&amp;数据!$I$1&amp;数据!J146&amp;数据!$J$1&amp;数据!K146&amp;数据!$K$1&amp;数据!L146&amp;数据!$L$1&amp;数据!M146&amp;数据!$M$1)</f>
        <v/>
      </c>
      <c r="E136" s="1" t="str">
        <f>IF(数据!B146=0,"",数据!N146)</f>
        <v/>
      </c>
      <c r="F136" s="1" t="str">
        <f>IF(数据!B146=0,"",数据!O146)</f>
        <v/>
      </c>
      <c r="G136" t="str">
        <f>IF(数据!B146=0,"",数据!P146)</f>
        <v/>
      </c>
    </row>
    <row r="137" spans="1:7" x14ac:dyDescent="0.15">
      <c r="A137" s="6" t="str">
        <f>IF(数据!B147=0,"",数据!B147)</f>
        <v/>
      </c>
      <c r="B137" s="1" t="str">
        <f>IF(数据!B147=0,"",数据!D147)</f>
        <v/>
      </c>
      <c r="C137" s="1" t="str">
        <f>IF(数据!B147=0,"",数据!F147&amp;"-"&amp;数据!G147)</f>
        <v/>
      </c>
      <c r="D137" s="5" t="str">
        <f>IF(数据!B147=0,"",数据!I147&amp;数据!$I$1&amp;数据!J147&amp;数据!$J$1&amp;数据!K147&amp;数据!$K$1&amp;数据!L147&amp;数据!$L$1&amp;数据!M147&amp;数据!$M$1)</f>
        <v/>
      </c>
      <c r="E137" s="1" t="str">
        <f>IF(数据!B147=0,"",数据!N147)</f>
        <v/>
      </c>
      <c r="F137" s="1" t="str">
        <f>IF(数据!B147=0,"",数据!O147)</f>
        <v/>
      </c>
      <c r="G137" t="str">
        <f>IF(数据!B147=0,"",数据!P147)</f>
        <v/>
      </c>
    </row>
    <row r="138" spans="1:7" x14ac:dyDescent="0.15">
      <c r="A138" s="6" t="str">
        <f>IF(数据!B148=0,"",数据!B148)</f>
        <v/>
      </c>
      <c r="B138" s="1" t="str">
        <f>IF(数据!B148=0,"",数据!D148)</f>
        <v/>
      </c>
      <c r="C138" s="1" t="str">
        <f>IF(数据!B148=0,"",数据!F148&amp;"-"&amp;数据!G148)</f>
        <v/>
      </c>
      <c r="D138" s="5" t="str">
        <f>IF(数据!B148=0,"",数据!I148&amp;数据!$I$1&amp;数据!J148&amp;数据!$J$1&amp;数据!K148&amp;数据!$K$1&amp;数据!L148&amp;数据!$L$1&amp;数据!M148&amp;数据!$M$1)</f>
        <v/>
      </c>
      <c r="E138" s="1" t="str">
        <f>IF(数据!B148=0,"",数据!N148)</f>
        <v/>
      </c>
      <c r="F138" s="1" t="str">
        <f>IF(数据!B148=0,"",数据!O148)</f>
        <v/>
      </c>
      <c r="G138" t="str">
        <f>IF(数据!B148=0,"",数据!P148)</f>
        <v/>
      </c>
    </row>
    <row r="139" spans="1:7" x14ac:dyDescent="0.15">
      <c r="A139" s="6" t="str">
        <f>IF(数据!B149=0,"",数据!B149)</f>
        <v/>
      </c>
      <c r="B139" s="1" t="str">
        <f>IF(数据!B149=0,"",数据!D149)</f>
        <v/>
      </c>
      <c r="C139" s="1" t="str">
        <f>IF(数据!B149=0,"",数据!F149&amp;"-"&amp;数据!G149)</f>
        <v/>
      </c>
      <c r="D139" s="5" t="str">
        <f>IF(数据!B149=0,"",数据!I149&amp;数据!$I$1&amp;数据!J149&amp;数据!$J$1&amp;数据!K149&amp;数据!$K$1&amp;数据!L149&amp;数据!$L$1&amp;数据!M149&amp;数据!$M$1)</f>
        <v/>
      </c>
      <c r="E139" s="1" t="str">
        <f>IF(数据!B149=0,"",数据!N149)</f>
        <v/>
      </c>
      <c r="F139" s="1" t="str">
        <f>IF(数据!B149=0,"",数据!O149)</f>
        <v/>
      </c>
      <c r="G139" t="str">
        <f>IF(数据!B149=0,"",数据!P149)</f>
        <v/>
      </c>
    </row>
    <row r="140" spans="1:7" x14ac:dyDescent="0.15">
      <c r="A140" s="6" t="str">
        <f>IF(数据!B150=0,"",数据!B150)</f>
        <v/>
      </c>
      <c r="B140" s="1" t="str">
        <f>IF(数据!B150=0,"",数据!D150)</f>
        <v/>
      </c>
      <c r="C140" s="1" t="str">
        <f>IF(数据!B150=0,"",数据!F150&amp;"-"&amp;数据!G150)</f>
        <v/>
      </c>
      <c r="D140" s="5" t="str">
        <f>IF(数据!B150=0,"",数据!I150&amp;数据!$I$1&amp;数据!J150&amp;数据!$J$1&amp;数据!K150&amp;数据!$K$1&amp;数据!L150&amp;数据!$L$1&amp;数据!M150&amp;数据!$M$1)</f>
        <v/>
      </c>
      <c r="E140" s="1" t="str">
        <f>IF(数据!B150=0,"",数据!N150)</f>
        <v/>
      </c>
      <c r="F140" s="1" t="str">
        <f>IF(数据!B150=0,"",数据!O150)</f>
        <v/>
      </c>
      <c r="G140" t="str">
        <f>IF(数据!B150=0,"",数据!P150)</f>
        <v/>
      </c>
    </row>
    <row r="141" spans="1:7" x14ac:dyDescent="0.15">
      <c r="A141" s="6" t="str">
        <f>IF(数据!B151=0,"",数据!B151)</f>
        <v/>
      </c>
      <c r="B141" s="1" t="str">
        <f>IF(数据!B151=0,"",数据!D151)</f>
        <v/>
      </c>
      <c r="C141" s="1" t="str">
        <f>IF(数据!B151=0,"",数据!F151&amp;"-"&amp;数据!G151)</f>
        <v/>
      </c>
      <c r="D141" s="5" t="str">
        <f>IF(数据!B151=0,"",数据!I151&amp;数据!$I$1&amp;数据!J151&amp;数据!$J$1&amp;数据!K151&amp;数据!$K$1&amp;数据!L151&amp;数据!$L$1&amp;数据!M151&amp;数据!$M$1)</f>
        <v/>
      </c>
      <c r="E141" s="1" t="str">
        <f>IF(数据!B151=0,"",数据!N151)</f>
        <v/>
      </c>
      <c r="F141" s="1" t="str">
        <f>IF(数据!B151=0,"",数据!O151)</f>
        <v/>
      </c>
      <c r="G141" t="str">
        <f>IF(数据!B151=0,"",数据!P151)</f>
        <v/>
      </c>
    </row>
    <row r="142" spans="1:7" x14ac:dyDescent="0.15">
      <c r="A142" s="6" t="str">
        <f>IF(数据!B152=0,"",数据!B152)</f>
        <v/>
      </c>
      <c r="B142" s="1" t="str">
        <f>IF(数据!B152=0,"",数据!D152)</f>
        <v/>
      </c>
      <c r="C142" s="1" t="str">
        <f>IF(数据!B152=0,"",数据!F152&amp;"-"&amp;数据!G152)</f>
        <v/>
      </c>
      <c r="D142" s="5" t="str">
        <f>IF(数据!B152=0,"",数据!I152&amp;数据!$I$1&amp;数据!J152&amp;数据!$J$1&amp;数据!K152&amp;数据!$K$1&amp;数据!L152&amp;数据!$L$1&amp;数据!M152&amp;数据!$M$1)</f>
        <v/>
      </c>
      <c r="E142" s="1" t="str">
        <f>IF(数据!B152=0,"",数据!N152)</f>
        <v/>
      </c>
      <c r="F142" s="1" t="str">
        <f>IF(数据!B152=0,"",数据!O152)</f>
        <v/>
      </c>
      <c r="G142" t="str">
        <f>IF(数据!B152=0,"",数据!P152)</f>
        <v/>
      </c>
    </row>
    <row r="143" spans="1:7" x14ac:dyDescent="0.15">
      <c r="A143" s="6" t="str">
        <f>IF(数据!B153=0,"",数据!B153)</f>
        <v/>
      </c>
      <c r="B143" s="1" t="str">
        <f>IF(数据!B153=0,"",数据!D153)</f>
        <v/>
      </c>
      <c r="C143" s="1" t="str">
        <f>IF(数据!B153=0,"",数据!F153&amp;"-"&amp;数据!G153)</f>
        <v/>
      </c>
      <c r="D143" s="5" t="str">
        <f>IF(数据!B153=0,"",数据!I153&amp;数据!$I$1&amp;数据!J153&amp;数据!$J$1&amp;数据!K153&amp;数据!$K$1&amp;数据!L153&amp;数据!$L$1&amp;数据!M153&amp;数据!$M$1)</f>
        <v/>
      </c>
      <c r="E143" s="1" t="str">
        <f>IF(数据!B153=0,"",数据!N153)</f>
        <v/>
      </c>
      <c r="F143" s="1" t="str">
        <f>IF(数据!B153=0,"",数据!O153)</f>
        <v/>
      </c>
      <c r="G143" t="str">
        <f>IF(数据!B153=0,"",数据!P153)</f>
        <v/>
      </c>
    </row>
    <row r="144" spans="1:7" x14ac:dyDescent="0.15">
      <c r="A144" s="6" t="str">
        <f>IF(数据!B154=0,"",数据!B154)</f>
        <v/>
      </c>
      <c r="B144" s="1" t="str">
        <f>IF(数据!B154=0,"",数据!D154)</f>
        <v/>
      </c>
      <c r="C144" s="1" t="str">
        <f>IF(数据!B154=0,"",数据!F154&amp;"-"&amp;数据!G154)</f>
        <v/>
      </c>
      <c r="D144" s="5" t="str">
        <f>IF(数据!B154=0,"",数据!I154&amp;数据!$I$1&amp;数据!J154&amp;数据!$J$1&amp;数据!K154&amp;数据!$K$1&amp;数据!L154&amp;数据!$L$1&amp;数据!M154&amp;数据!$M$1)</f>
        <v/>
      </c>
      <c r="E144" s="1" t="str">
        <f>IF(数据!B154=0,"",数据!N154)</f>
        <v/>
      </c>
      <c r="F144" s="1" t="str">
        <f>IF(数据!B154=0,"",数据!O154)</f>
        <v/>
      </c>
      <c r="G144" t="str">
        <f>IF(数据!B154=0,"",数据!P154)</f>
        <v/>
      </c>
    </row>
    <row r="145" spans="1:7" x14ac:dyDescent="0.15">
      <c r="A145" s="6" t="str">
        <f>IF(数据!B155=0,"",数据!B155)</f>
        <v/>
      </c>
      <c r="B145" s="1" t="str">
        <f>IF(数据!B155=0,"",数据!D155)</f>
        <v/>
      </c>
      <c r="C145" s="1" t="str">
        <f>IF(数据!B155=0,"",数据!F155&amp;"-"&amp;数据!G155)</f>
        <v/>
      </c>
      <c r="D145" s="5" t="str">
        <f>IF(数据!B155=0,"",数据!I155&amp;数据!$I$1&amp;数据!J155&amp;数据!$J$1&amp;数据!K155&amp;数据!$K$1&amp;数据!L155&amp;数据!$L$1&amp;数据!M155&amp;数据!$M$1)</f>
        <v/>
      </c>
      <c r="E145" s="1" t="str">
        <f>IF(数据!B155=0,"",数据!N155)</f>
        <v/>
      </c>
      <c r="F145" s="1" t="str">
        <f>IF(数据!B155=0,"",数据!O155)</f>
        <v/>
      </c>
      <c r="G145" t="str">
        <f>IF(数据!B155=0,"",数据!P155)</f>
        <v/>
      </c>
    </row>
    <row r="146" spans="1:7" x14ac:dyDescent="0.15">
      <c r="A146" s="6" t="str">
        <f>IF(数据!B156=0,"",数据!B156)</f>
        <v/>
      </c>
      <c r="B146" s="1" t="str">
        <f>IF(数据!B156=0,"",数据!D156)</f>
        <v/>
      </c>
      <c r="C146" s="1" t="str">
        <f>IF(数据!B156=0,"",数据!F156&amp;"-"&amp;数据!G156)</f>
        <v/>
      </c>
      <c r="D146" s="5" t="str">
        <f>IF(数据!B156=0,"",数据!I156&amp;数据!$I$1&amp;数据!J156&amp;数据!$J$1&amp;数据!K156&amp;数据!$K$1&amp;数据!L156&amp;数据!$L$1&amp;数据!M156&amp;数据!$M$1)</f>
        <v/>
      </c>
      <c r="E146" s="1" t="str">
        <f>IF(数据!B156=0,"",数据!N156)</f>
        <v/>
      </c>
      <c r="F146" s="1" t="str">
        <f>IF(数据!B156=0,"",数据!O156)</f>
        <v/>
      </c>
      <c r="G146" t="str">
        <f>IF(数据!B156=0,"",数据!P156)</f>
        <v/>
      </c>
    </row>
    <row r="147" spans="1:7" x14ac:dyDescent="0.15">
      <c r="A147" s="6" t="str">
        <f>IF(数据!B157=0,"",数据!B157)</f>
        <v/>
      </c>
      <c r="B147" s="1" t="str">
        <f>IF(数据!B157=0,"",数据!D157)</f>
        <v/>
      </c>
      <c r="C147" s="1" t="str">
        <f>IF(数据!B157=0,"",数据!F157&amp;"-"&amp;数据!G157)</f>
        <v/>
      </c>
      <c r="D147" s="5" t="str">
        <f>IF(数据!B157=0,"",数据!I157&amp;数据!$I$1&amp;数据!J157&amp;数据!$J$1&amp;数据!K157&amp;数据!$K$1&amp;数据!L157&amp;数据!$L$1&amp;数据!M157&amp;数据!$M$1)</f>
        <v/>
      </c>
      <c r="E147" s="1" t="str">
        <f>IF(数据!B157=0,"",数据!N157)</f>
        <v/>
      </c>
      <c r="F147" s="1" t="str">
        <f>IF(数据!B157=0,"",数据!O157)</f>
        <v/>
      </c>
      <c r="G147" t="str">
        <f>IF(数据!B157=0,"",数据!P157)</f>
        <v/>
      </c>
    </row>
    <row r="148" spans="1:7" x14ac:dyDescent="0.15">
      <c r="A148" s="6" t="str">
        <f>IF(数据!B158=0,"",数据!B158)</f>
        <v/>
      </c>
      <c r="B148" s="1" t="str">
        <f>IF(数据!B158=0,"",数据!D158)</f>
        <v/>
      </c>
      <c r="C148" s="1" t="str">
        <f>IF(数据!B158=0,"",数据!F158&amp;"-"&amp;数据!G158)</f>
        <v/>
      </c>
      <c r="D148" s="5" t="str">
        <f>IF(数据!B158=0,"",数据!I158&amp;数据!$I$1&amp;数据!J158&amp;数据!$J$1&amp;数据!K158&amp;数据!$K$1&amp;数据!L158&amp;数据!$L$1&amp;数据!M158&amp;数据!$M$1)</f>
        <v/>
      </c>
      <c r="E148" s="1" t="str">
        <f>IF(数据!B158=0,"",数据!N158)</f>
        <v/>
      </c>
      <c r="F148" s="1" t="str">
        <f>IF(数据!B158=0,"",数据!O158)</f>
        <v/>
      </c>
      <c r="G148" t="str">
        <f>IF(数据!B158=0,"",数据!P158)</f>
        <v/>
      </c>
    </row>
    <row r="149" spans="1:7" x14ac:dyDescent="0.15">
      <c r="A149" s="6" t="str">
        <f>IF(数据!B159=0,"",数据!B159)</f>
        <v/>
      </c>
      <c r="B149" s="1" t="str">
        <f>IF(数据!B159=0,"",数据!D159)</f>
        <v/>
      </c>
      <c r="C149" s="1" t="str">
        <f>IF(数据!B159=0,"",数据!F159&amp;"-"&amp;数据!G159)</f>
        <v/>
      </c>
      <c r="D149" s="5" t="str">
        <f>IF(数据!B159=0,"",数据!I159&amp;数据!$I$1&amp;数据!J159&amp;数据!$J$1&amp;数据!K159&amp;数据!$K$1&amp;数据!L159&amp;数据!$L$1&amp;数据!M159&amp;数据!$M$1)</f>
        <v/>
      </c>
      <c r="E149" s="1" t="str">
        <f>IF(数据!B159=0,"",数据!N159)</f>
        <v/>
      </c>
      <c r="F149" s="1" t="str">
        <f>IF(数据!B159=0,"",数据!O159)</f>
        <v/>
      </c>
      <c r="G149" t="str">
        <f>IF(数据!B159=0,"",数据!P159)</f>
        <v/>
      </c>
    </row>
    <row r="150" spans="1:7" x14ac:dyDescent="0.15">
      <c r="A150" s="6" t="str">
        <f>IF(数据!B160=0,"",数据!B160)</f>
        <v/>
      </c>
      <c r="B150" s="1" t="str">
        <f>IF(数据!B160=0,"",数据!D160)</f>
        <v/>
      </c>
      <c r="C150" s="1" t="str">
        <f>IF(数据!B160=0,"",数据!F160&amp;"-"&amp;数据!G160)</f>
        <v/>
      </c>
      <c r="D150" s="5" t="str">
        <f>IF(数据!B160=0,"",数据!I160&amp;数据!$I$1&amp;数据!J160&amp;数据!$J$1&amp;数据!K160&amp;数据!$K$1&amp;数据!L160&amp;数据!$L$1&amp;数据!M160&amp;数据!$M$1)</f>
        <v/>
      </c>
      <c r="E150" s="1" t="str">
        <f>IF(数据!B160=0,"",数据!N160)</f>
        <v/>
      </c>
      <c r="F150" s="1" t="str">
        <f>IF(数据!B160=0,"",数据!O160)</f>
        <v/>
      </c>
      <c r="G150" t="str">
        <f>IF(数据!B160=0,"",数据!P160)</f>
        <v/>
      </c>
    </row>
    <row r="151" spans="1:7" x14ac:dyDescent="0.15">
      <c r="A151" s="6" t="str">
        <f>IF(数据!B161=0,"",数据!B161)</f>
        <v/>
      </c>
      <c r="B151" s="1" t="str">
        <f>IF(数据!B161=0,"",数据!D161)</f>
        <v/>
      </c>
      <c r="C151" s="1" t="str">
        <f>IF(数据!B161=0,"",数据!F161&amp;"-"&amp;数据!G161)</f>
        <v/>
      </c>
      <c r="D151" s="5" t="str">
        <f>IF(数据!B161=0,"",数据!I161&amp;数据!$I$1&amp;数据!J161&amp;数据!$J$1&amp;数据!K161&amp;数据!$K$1&amp;数据!L161&amp;数据!$L$1&amp;数据!M161&amp;数据!$M$1)</f>
        <v/>
      </c>
      <c r="E151" s="1" t="str">
        <f>IF(数据!B161=0,"",数据!N161)</f>
        <v/>
      </c>
      <c r="F151" s="1" t="str">
        <f>IF(数据!B161=0,"",数据!O161)</f>
        <v/>
      </c>
      <c r="G151" t="str">
        <f>IF(数据!B161=0,"",数据!P161)</f>
        <v/>
      </c>
    </row>
    <row r="152" spans="1:7" x14ac:dyDescent="0.15">
      <c r="A152" s="6" t="str">
        <f>IF(数据!B162=0,"",数据!B162)</f>
        <v/>
      </c>
      <c r="B152" s="1" t="str">
        <f>IF(数据!B162=0,"",数据!D162)</f>
        <v/>
      </c>
      <c r="C152" s="1" t="str">
        <f>IF(数据!B162=0,"",数据!F162&amp;"-"&amp;数据!G162)</f>
        <v/>
      </c>
      <c r="D152" s="5" t="str">
        <f>IF(数据!B162=0,"",数据!I162&amp;数据!$I$1&amp;数据!J162&amp;数据!$J$1&amp;数据!K162&amp;数据!$K$1&amp;数据!L162&amp;数据!$L$1&amp;数据!M162&amp;数据!$M$1)</f>
        <v/>
      </c>
      <c r="E152" s="1" t="str">
        <f>IF(数据!B162=0,"",数据!N162)</f>
        <v/>
      </c>
      <c r="F152" s="1" t="str">
        <f>IF(数据!B162=0,"",数据!O162)</f>
        <v/>
      </c>
      <c r="G152" t="str">
        <f>IF(数据!B162=0,"",数据!P162)</f>
        <v/>
      </c>
    </row>
    <row r="153" spans="1:7" x14ac:dyDescent="0.15">
      <c r="A153" s="6" t="str">
        <f>IF(数据!B163=0,"",数据!B163)</f>
        <v/>
      </c>
      <c r="B153" s="1" t="str">
        <f>IF(数据!B163=0,"",数据!D163)</f>
        <v/>
      </c>
      <c r="C153" s="1" t="str">
        <f>IF(数据!B163=0,"",数据!F163&amp;"-"&amp;数据!G163)</f>
        <v/>
      </c>
      <c r="D153" s="5" t="str">
        <f>IF(数据!B163=0,"",数据!I163&amp;数据!$I$1&amp;数据!J163&amp;数据!$J$1&amp;数据!K163&amp;数据!$K$1&amp;数据!L163&amp;数据!$L$1&amp;数据!M163&amp;数据!$M$1)</f>
        <v/>
      </c>
      <c r="E153" s="1" t="str">
        <f>IF(数据!B163=0,"",数据!N163)</f>
        <v/>
      </c>
      <c r="F153" s="1" t="str">
        <f>IF(数据!B163=0,"",数据!O163)</f>
        <v/>
      </c>
      <c r="G153" t="str">
        <f>IF(数据!B163=0,"",数据!P163)</f>
        <v/>
      </c>
    </row>
    <row r="154" spans="1:7" x14ac:dyDescent="0.15">
      <c r="A154" s="6" t="str">
        <f>IF(数据!B164=0,"",数据!B164)</f>
        <v/>
      </c>
      <c r="B154" s="1" t="str">
        <f>IF(数据!B164=0,"",数据!D164)</f>
        <v/>
      </c>
      <c r="C154" s="1" t="str">
        <f>IF(数据!B164=0,"",数据!F164&amp;"-"&amp;数据!G164)</f>
        <v/>
      </c>
      <c r="D154" s="5" t="str">
        <f>IF(数据!B164=0,"",数据!I164&amp;数据!$I$1&amp;数据!J164&amp;数据!$J$1&amp;数据!K164&amp;数据!$K$1&amp;数据!L164&amp;数据!$L$1&amp;数据!M164&amp;数据!$M$1)</f>
        <v/>
      </c>
      <c r="E154" s="1" t="str">
        <f>IF(数据!B164=0,"",数据!N164)</f>
        <v/>
      </c>
      <c r="F154" s="1" t="str">
        <f>IF(数据!B164=0,"",数据!O164)</f>
        <v/>
      </c>
      <c r="G154" t="str">
        <f>IF(数据!B164=0,"",数据!P164)</f>
        <v/>
      </c>
    </row>
    <row r="155" spans="1:7" x14ac:dyDescent="0.15">
      <c r="A155" s="6" t="str">
        <f>IF(数据!B165=0,"",数据!B165)</f>
        <v/>
      </c>
      <c r="B155" s="1" t="str">
        <f>IF(数据!B165=0,"",数据!D165)</f>
        <v/>
      </c>
      <c r="C155" s="1" t="str">
        <f>IF(数据!B165=0,"",数据!F165&amp;"-"&amp;数据!G165)</f>
        <v/>
      </c>
      <c r="D155" s="5" t="str">
        <f>IF(数据!B165=0,"",数据!I165&amp;数据!$I$1&amp;数据!J165&amp;数据!$J$1&amp;数据!K165&amp;数据!$K$1&amp;数据!L165&amp;数据!$L$1&amp;数据!M165&amp;数据!$M$1)</f>
        <v/>
      </c>
      <c r="E155" s="1" t="str">
        <f>IF(数据!B165=0,"",数据!N165)</f>
        <v/>
      </c>
      <c r="F155" s="1" t="str">
        <f>IF(数据!B165=0,"",数据!O165)</f>
        <v/>
      </c>
      <c r="G155" t="str">
        <f>IF(数据!B165=0,"",数据!P165)</f>
        <v/>
      </c>
    </row>
    <row r="156" spans="1:7" x14ac:dyDescent="0.15">
      <c r="A156" s="6" t="str">
        <f>IF(数据!B166=0,"",数据!B166)</f>
        <v/>
      </c>
      <c r="B156" s="1" t="str">
        <f>IF(数据!B166=0,"",数据!D166)</f>
        <v/>
      </c>
      <c r="C156" s="1" t="str">
        <f>IF(数据!B166=0,"",数据!F166&amp;"-"&amp;数据!G166)</f>
        <v/>
      </c>
      <c r="D156" s="5" t="str">
        <f>IF(数据!B166=0,"",数据!I166&amp;数据!$I$1&amp;数据!J166&amp;数据!$J$1&amp;数据!K166&amp;数据!$K$1&amp;数据!L166&amp;数据!$L$1&amp;数据!M166&amp;数据!$M$1)</f>
        <v/>
      </c>
      <c r="E156" s="1" t="str">
        <f>IF(数据!B166=0,"",数据!N166)</f>
        <v/>
      </c>
      <c r="F156" s="1" t="str">
        <f>IF(数据!B166=0,"",数据!O166)</f>
        <v/>
      </c>
      <c r="G156" t="str">
        <f>IF(数据!B166=0,"",数据!P166)</f>
        <v/>
      </c>
    </row>
    <row r="157" spans="1:7" x14ac:dyDescent="0.15">
      <c r="A157" s="6" t="str">
        <f>IF(数据!B167=0,"",数据!B167)</f>
        <v/>
      </c>
      <c r="B157" s="1" t="str">
        <f>IF(数据!B167=0,"",数据!D167)</f>
        <v/>
      </c>
      <c r="C157" s="1" t="str">
        <f>IF(数据!B167=0,"",数据!F167&amp;"-"&amp;数据!G167)</f>
        <v/>
      </c>
      <c r="D157" s="5" t="str">
        <f>IF(数据!B167=0,"",数据!I167&amp;数据!$I$1&amp;数据!J167&amp;数据!$J$1&amp;数据!K167&amp;数据!$K$1&amp;数据!L167&amp;数据!$L$1&amp;数据!M167&amp;数据!$M$1)</f>
        <v/>
      </c>
      <c r="E157" s="1" t="str">
        <f>IF(数据!B167=0,"",数据!N167)</f>
        <v/>
      </c>
      <c r="F157" s="1" t="str">
        <f>IF(数据!B167=0,"",数据!O167)</f>
        <v/>
      </c>
      <c r="G157" t="str">
        <f>IF(数据!B167=0,"",数据!P167)</f>
        <v/>
      </c>
    </row>
    <row r="158" spans="1:7" x14ac:dyDescent="0.15">
      <c r="A158" s="6" t="str">
        <f>IF(数据!B168=0,"",数据!B168)</f>
        <v/>
      </c>
      <c r="B158" s="1" t="str">
        <f>IF(数据!B168=0,"",数据!D168)</f>
        <v/>
      </c>
      <c r="C158" s="1" t="str">
        <f>IF(数据!B168=0,"",数据!F168&amp;"-"&amp;数据!G168)</f>
        <v/>
      </c>
      <c r="D158" s="5" t="str">
        <f>IF(数据!B168=0,"",数据!I168&amp;数据!$I$1&amp;数据!J168&amp;数据!$J$1&amp;数据!K168&amp;数据!$K$1&amp;数据!L168&amp;数据!$L$1&amp;数据!M168&amp;数据!$M$1)</f>
        <v/>
      </c>
      <c r="E158" s="1" t="str">
        <f>IF(数据!B168=0,"",数据!N168)</f>
        <v/>
      </c>
      <c r="F158" s="1" t="str">
        <f>IF(数据!B168=0,"",数据!O168)</f>
        <v/>
      </c>
      <c r="G158" t="str">
        <f>IF(数据!B168=0,"",数据!P168)</f>
        <v/>
      </c>
    </row>
    <row r="159" spans="1:7" x14ac:dyDescent="0.15">
      <c r="A159" s="6" t="str">
        <f>IF(数据!B169=0,"",数据!B169)</f>
        <v/>
      </c>
      <c r="B159" s="1" t="str">
        <f>IF(数据!B169=0,"",数据!D169)</f>
        <v/>
      </c>
      <c r="C159" s="1" t="str">
        <f>IF(数据!B169=0,"",数据!F169&amp;"-"&amp;数据!G169)</f>
        <v/>
      </c>
      <c r="D159" s="5" t="str">
        <f>IF(数据!B169=0,"",数据!I169&amp;数据!$I$1&amp;数据!J169&amp;数据!$J$1&amp;数据!K169&amp;数据!$K$1&amp;数据!L169&amp;数据!$L$1&amp;数据!M169&amp;数据!$M$1)</f>
        <v/>
      </c>
      <c r="E159" s="1" t="str">
        <f>IF(数据!B169=0,"",数据!N169)</f>
        <v/>
      </c>
      <c r="F159" s="1" t="str">
        <f>IF(数据!B169=0,"",数据!O169)</f>
        <v/>
      </c>
      <c r="G159" t="str">
        <f>IF(数据!B169=0,"",数据!P169)</f>
        <v/>
      </c>
    </row>
    <row r="160" spans="1:7" x14ac:dyDescent="0.15">
      <c r="A160" s="6" t="str">
        <f>IF(数据!B170=0,"",数据!B170)</f>
        <v/>
      </c>
      <c r="B160" s="1" t="str">
        <f>IF(数据!B170=0,"",数据!D170)</f>
        <v/>
      </c>
      <c r="C160" s="1" t="str">
        <f>IF(数据!B170=0,"",数据!F170&amp;"-"&amp;数据!G170)</f>
        <v/>
      </c>
      <c r="D160" s="5" t="str">
        <f>IF(数据!B170=0,"",数据!I170&amp;数据!$I$1&amp;数据!J170&amp;数据!$J$1&amp;数据!K170&amp;数据!$K$1&amp;数据!L170&amp;数据!$L$1&amp;数据!M170&amp;数据!$M$1)</f>
        <v/>
      </c>
      <c r="E160" s="1" t="str">
        <f>IF(数据!B170=0,"",数据!N170)</f>
        <v/>
      </c>
      <c r="F160" s="1" t="str">
        <f>IF(数据!B170=0,"",数据!O170)</f>
        <v/>
      </c>
      <c r="G160" t="str">
        <f>IF(数据!B170=0,"",数据!P170)</f>
        <v/>
      </c>
    </row>
    <row r="161" spans="1:7" x14ac:dyDescent="0.15">
      <c r="A161" s="6" t="str">
        <f>IF(数据!B171=0,"",数据!B171)</f>
        <v/>
      </c>
      <c r="B161" s="1" t="str">
        <f>IF(数据!B171=0,"",数据!D171)</f>
        <v/>
      </c>
      <c r="C161" s="1" t="str">
        <f>IF(数据!B171=0,"",数据!F171&amp;"-"&amp;数据!G171)</f>
        <v/>
      </c>
      <c r="D161" s="5" t="str">
        <f>IF(数据!B171=0,"",数据!I171&amp;数据!$I$1&amp;数据!J171&amp;数据!$J$1&amp;数据!K171&amp;数据!$K$1&amp;数据!L171&amp;数据!$L$1&amp;数据!M171&amp;数据!$M$1)</f>
        <v/>
      </c>
      <c r="E161" s="1" t="str">
        <f>IF(数据!B171=0,"",数据!N171)</f>
        <v/>
      </c>
      <c r="F161" s="1" t="str">
        <f>IF(数据!B171=0,"",数据!O171)</f>
        <v/>
      </c>
      <c r="G161" t="str">
        <f>IF(数据!B171=0,"",数据!P171)</f>
        <v/>
      </c>
    </row>
    <row r="162" spans="1:7" x14ac:dyDescent="0.15">
      <c r="A162" s="6" t="str">
        <f>IF(数据!B172=0,"",数据!B172)</f>
        <v/>
      </c>
      <c r="B162" s="1" t="str">
        <f>IF(数据!B172=0,"",数据!D172)</f>
        <v/>
      </c>
      <c r="C162" s="1" t="str">
        <f>IF(数据!B172=0,"",数据!F172&amp;"-"&amp;数据!G172)</f>
        <v/>
      </c>
      <c r="D162" s="5" t="str">
        <f>IF(数据!B172=0,"",数据!I172&amp;数据!$I$1&amp;数据!J172&amp;数据!$J$1&amp;数据!K172&amp;数据!$K$1&amp;数据!L172&amp;数据!$L$1&amp;数据!M172&amp;数据!$M$1)</f>
        <v/>
      </c>
      <c r="E162" s="1" t="str">
        <f>IF(数据!B172=0,"",数据!N172)</f>
        <v/>
      </c>
      <c r="F162" s="1" t="str">
        <f>IF(数据!B172=0,"",数据!O172)</f>
        <v/>
      </c>
      <c r="G162" t="str">
        <f>IF(数据!B172=0,"",数据!P172)</f>
        <v/>
      </c>
    </row>
    <row r="163" spans="1:7" x14ac:dyDescent="0.15">
      <c r="A163" s="6" t="str">
        <f>IF(数据!B173=0,"",数据!B173)</f>
        <v/>
      </c>
      <c r="B163" s="1" t="str">
        <f>IF(数据!B173=0,"",数据!D173)</f>
        <v/>
      </c>
      <c r="C163" s="1" t="str">
        <f>IF(数据!B173=0,"",数据!F173&amp;"-"&amp;数据!G173)</f>
        <v/>
      </c>
      <c r="D163" s="5" t="str">
        <f>IF(数据!B173=0,"",数据!I173&amp;数据!$I$1&amp;数据!J173&amp;数据!$J$1&amp;数据!K173&amp;数据!$K$1&amp;数据!L173&amp;数据!$L$1&amp;数据!M173&amp;数据!$M$1)</f>
        <v/>
      </c>
      <c r="E163" s="1" t="str">
        <f>IF(数据!B173=0,"",数据!N173)</f>
        <v/>
      </c>
      <c r="F163" s="1" t="str">
        <f>IF(数据!B173=0,"",数据!O173)</f>
        <v/>
      </c>
      <c r="G163" t="str">
        <f>IF(数据!B173=0,"",数据!P173)</f>
        <v/>
      </c>
    </row>
    <row r="164" spans="1:7" x14ac:dyDescent="0.15">
      <c r="A164" s="6" t="str">
        <f>IF(数据!B174=0,"",数据!B174)</f>
        <v/>
      </c>
      <c r="B164" s="1" t="str">
        <f>IF(数据!B174=0,"",数据!D174)</f>
        <v/>
      </c>
      <c r="C164" s="1" t="str">
        <f>IF(数据!B174=0,"",数据!F174&amp;"-"&amp;数据!G174)</f>
        <v/>
      </c>
      <c r="D164" s="5" t="str">
        <f>IF(数据!B174=0,"",数据!I174&amp;数据!$I$1&amp;数据!J174&amp;数据!$J$1&amp;数据!K174&amp;数据!$K$1&amp;数据!L174&amp;数据!$L$1&amp;数据!M174&amp;数据!$M$1)</f>
        <v/>
      </c>
      <c r="E164" s="1" t="str">
        <f>IF(数据!B174=0,"",数据!N174)</f>
        <v/>
      </c>
      <c r="F164" s="1" t="str">
        <f>IF(数据!B174=0,"",数据!O174)</f>
        <v/>
      </c>
      <c r="G164" t="str">
        <f>IF(数据!B174=0,"",数据!P174)</f>
        <v/>
      </c>
    </row>
    <row r="165" spans="1:7" x14ac:dyDescent="0.15">
      <c r="A165" s="6" t="str">
        <f>IF(数据!B175=0,"",数据!B175)</f>
        <v/>
      </c>
      <c r="B165" s="1" t="str">
        <f>IF(数据!B175=0,"",数据!D175)</f>
        <v/>
      </c>
      <c r="C165" s="1" t="str">
        <f>IF(数据!B175=0,"",数据!F175&amp;"-"&amp;数据!G175)</f>
        <v/>
      </c>
      <c r="D165" s="5" t="str">
        <f>IF(数据!B175=0,"",数据!I175&amp;数据!$I$1&amp;数据!J175&amp;数据!$J$1&amp;数据!K175&amp;数据!$K$1&amp;数据!L175&amp;数据!$L$1&amp;数据!M175&amp;数据!$M$1)</f>
        <v/>
      </c>
      <c r="E165" s="1" t="str">
        <f>IF(数据!B175=0,"",数据!N175)</f>
        <v/>
      </c>
      <c r="F165" s="1" t="str">
        <f>IF(数据!B175=0,"",数据!O175)</f>
        <v/>
      </c>
      <c r="G165" t="str">
        <f>IF(数据!B175=0,"",数据!P175)</f>
        <v/>
      </c>
    </row>
    <row r="166" spans="1:7" x14ac:dyDescent="0.15">
      <c r="A166" s="6" t="str">
        <f>IF(数据!B176=0,"",数据!B176)</f>
        <v/>
      </c>
      <c r="B166" s="1" t="str">
        <f>IF(数据!B176=0,"",数据!D176)</f>
        <v/>
      </c>
      <c r="C166" s="1" t="str">
        <f>IF(数据!B176=0,"",数据!F176&amp;"-"&amp;数据!G176)</f>
        <v/>
      </c>
      <c r="D166" s="5" t="str">
        <f>IF(数据!B176=0,"",数据!I176&amp;数据!$I$1&amp;数据!J176&amp;数据!$J$1&amp;数据!K176&amp;数据!$K$1&amp;数据!L176&amp;数据!$L$1&amp;数据!M176&amp;数据!$M$1)</f>
        <v/>
      </c>
      <c r="E166" s="1" t="str">
        <f>IF(数据!B176=0,"",数据!N176)</f>
        <v/>
      </c>
      <c r="F166" s="1" t="str">
        <f>IF(数据!B176=0,"",数据!O176)</f>
        <v/>
      </c>
      <c r="G166" t="str">
        <f>IF(数据!B176=0,"",数据!P176)</f>
        <v/>
      </c>
    </row>
    <row r="167" spans="1:7" x14ac:dyDescent="0.15">
      <c r="A167" s="6" t="str">
        <f>IF(数据!B177=0,"",数据!B177)</f>
        <v/>
      </c>
      <c r="B167" s="1" t="str">
        <f>IF(数据!B177=0,"",数据!D177)</f>
        <v/>
      </c>
      <c r="C167" s="1" t="str">
        <f>IF(数据!B177=0,"",数据!F177&amp;"-"&amp;数据!G177)</f>
        <v/>
      </c>
      <c r="D167" s="5" t="str">
        <f>IF(数据!B177=0,"",数据!I177&amp;数据!$I$1&amp;数据!J177&amp;数据!$J$1&amp;数据!K177&amp;数据!$K$1&amp;数据!L177&amp;数据!$L$1&amp;数据!M177&amp;数据!$M$1)</f>
        <v/>
      </c>
      <c r="E167" s="1" t="str">
        <f>IF(数据!B177=0,"",数据!N177)</f>
        <v/>
      </c>
      <c r="F167" s="1" t="str">
        <f>IF(数据!B177=0,"",数据!O177)</f>
        <v/>
      </c>
      <c r="G167" t="str">
        <f>IF(数据!B177=0,"",数据!P177)</f>
        <v/>
      </c>
    </row>
    <row r="168" spans="1:7" x14ac:dyDescent="0.15">
      <c r="A168" s="6" t="str">
        <f>IF(数据!B178=0,"",数据!B178)</f>
        <v/>
      </c>
      <c r="B168" s="1" t="str">
        <f>IF(数据!B178=0,"",数据!D178)</f>
        <v/>
      </c>
      <c r="C168" s="1" t="str">
        <f>IF(数据!B178=0,"",数据!F178&amp;"-"&amp;数据!G178)</f>
        <v/>
      </c>
      <c r="D168" s="5" t="str">
        <f>IF(数据!B178=0,"",数据!I178&amp;数据!$I$1&amp;数据!J178&amp;数据!$J$1&amp;数据!K178&amp;数据!$K$1&amp;数据!L178&amp;数据!$L$1&amp;数据!M178&amp;数据!$M$1)</f>
        <v/>
      </c>
      <c r="E168" s="1" t="str">
        <f>IF(数据!B178=0,"",数据!N178)</f>
        <v/>
      </c>
      <c r="F168" s="1" t="str">
        <f>IF(数据!B178=0,"",数据!O178)</f>
        <v/>
      </c>
      <c r="G168" t="str">
        <f>IF(数据!B178=0,"",数据!P178)</f>
        <v/>
      </c>
    </row>
    <row r="169" spans="1:7" x14ac:dyDescent="0.15">
      <c r="A169" s="6" t="str">
        <f>IF(数据!B179=0,"",数据!B179)</f>
        <v/>
      </c>
      <c r="B169" s="1" t="str">
        <f>IF(数据!B179=0,"",数据!D179)</f>
        <v/>
      </c>
      <c r="C169" s="1" t="str">
        <f>IF(数据!B179=0,"",数据!F179&amp;"-"&amp;数据!G179)</f>
        <v/>
      </c>
      <c r="D169" s="5" t="str">
        <f>IF(数据!B179=0,"",数据!I179&amp;数据!$I$1&amp;数据!J179&amp;数据!$J$1&amp;数据!K179&amp;数据!$K$1&amp;数据!L179&amp;数据!$L$1&amp;数据!M179&amp;数据!$M$1)</f>
        <v/>
      </c>
      <c r="E169" s="1" t="str">
        <f>IF(数据!B179=0,"",数据!N179)</f>
        <v/>
      </c>
      <c r="F169" s="1" t="str">
        <f>IF(数据!B179=0,"",数据!O179)</f>
        <v/>
      </c>
      <c r="G169" t="str">
        <f>IF(数据!B179=0,"",数据!P179)</f>
        <v/>
      </c>
    </row>
    <row r="170" spans="1:7" x14ac:dyDescent="0.15">
      <c r="A170" s="6" t="str">
        <f>IF(数据!B180=0,"",数据!B180)</f>
        <v/>
      </c>
      <c r="B170" s="1" t="str">
        <f>IF(数据!B180=0,"",数据!D180)</f>
        <v/>
      </c>
      <c r="C170" s="1" t="str">
        <f>IF(数据!B180=0,"",数据!F180&amp;"-"&amp;数据!G180)</f>
        <v/>
      </c>
      <c r="D170" s="5" t="str">
        <f>IF(数据!B180=0,"",数据!I180&amp;数据!$I$1&amp;数据!J180&amp;数据!$J$1&amp;数据!K180&amp;数据!$K$1&amp;数据!L180&amp;数据!$L$1&amp;数据!M180&amp;数据!$M$1)</f>
        <v/>
      </c>
      <c r="E170" s="1" t="str">
        <f>IF(数据!B180=0,"",数据!N180)</f>
        <v/>
      </c>
      <c r="F170" s="1" t="str">
        <f>IF(数据!B180=0,"",数据!O180)</f>
        <v/>
      </c>
      <c r="G170" t="str">
        <f>IF(数据!B180=0,"",数据!P180)</f>
        <v/>
      </c>
    </row>
    <row r="171" spans="1:7" x14ac:dyDescent="0.15">
      <c r="A171" s="6" t="str">
        <f>IF(数据!B181=0,"",数据!B181)</f>
        <v/>
      </c>
      <c r="B171" s="1" t="str">
        <f>IF(数据!B181=0,"",数据!D181)</f>
        <v/>
      </c>
      <c r="C171" s="1" t="str">
        <f>IF(数据!B181=0,"",数据!F181&amp;"-"&amp;数据!G181)</f>
        <v/>
      </c>
      <c r="D171" s="5" t="str">
        <f>IF(数据!B181=0,"",数据!I181&amp;数据!$I$1&amp;数据!J181&amp;数据!$J$1&amp;数据!K181&amp;数据!$K$1&amp;数据!L181&amp;数据!$L$1&amp;数据!M181&amp;数据!$M$1)</f>
        <v/>
      </c>
      <c r="E171" s="1" t="str">
        <f>IF(数据!B181=0,"",数据!N181)</f>
        <v/>
      </c>
      <c r="F171" s="1" t="str">
        <f>IF(数据!B181=0,"",数据!O181)</f>
        <v/>
      </c>
      <c r="G171" t="str">
        <f>IF(数据!B181=0,"",数据!P181)</f>
        <v/>
      </c>
    </row>
    <row r="172" spans="1:7" x14ac:dyDescent="0.15">
      <c r="A172" s="6" t="str">
        <f>IF(数据!B182=0,"",数据!B182)</f>
        <v/>
      </c>
      <c r="B172" s="1" t="str">
        <f>IF(数据!B182=0,"",数据!D182)</f>
        <v/>
      </c>
      <c r="C172" s="1" t="str">
        <f>IF(数据!B182=0,"",数据!F182&amp;"-"&amp;数据!G182)</f>
        <v/>
      </c>
      <c r="D172" s="5" t="str">
        <f>IF(数据!B182=0,"",数据!I182&amp;数据!$I$1&amp;数据!J182&amp;数据!$J$1&amp;数据!K182&amp;数据!$K$1&amp;数据!L182&amp;数据!$L$1&amp;数据!M182&amp;数据!$M$1)</f>
        <v/>
      </c>
      <c r="E172" s="1" t="str">
        <f>IF(数据!B182=0,"",数据!N182)</f>
        <v/>
      </c>
      <c r="F172" s="1" t="str">
        <f>IF(数据!B182=0,"",数据!O182)</f>
        <v/>
      </c>
      <c r="G172" t="str">
        <f>IF(数据!B182=0,"",数据!P182)</f>
        <v/>
      </c>
    </row>
    <row r="173" spans="1:7" x14ac:dyDescent="0.15">
      <c r="A173" s="6" t="str">
        <f>IF(数据!B183=0,"",数据!B183)</f>
        <v/>
      </c>
      <c r="B173" s="1" t="str">
        <f>IF(数据!B183=0,"",数据!D183)</f>
        <v/>
      </c>
      <c r="C173" s="1" t="str">
        <f>IF(数据!B183=0,"",数据!F183&amp;"-"&amp;数据!G183)</f>
        <v/>
      </c>
      <c r="D173" s="5" t="str">
        <f>IF(数据!B183=0,"",数据!I183&amp;数据!$I$1&amp;数据!J183&amp;数据!$J$1&amp;数据!K183&amp;数据!$K$1&amp;数据!L183&amp;数据!$L$1&amp;数据!M183&amp;数据!$M$1)</f>
        <v/>
      </c>
      <c r="E173" s="1" t="str">
        <f>IF(数据!B183=0,"",数据!N183)</f>
        <v/>
      </c>
      <c r="F173" s="1" t="str">
        <f>IF(数据!B183=0,"",数据!O183)</f>
        <v/>
      </c>
      <c r="G173" t="str">
        <f>IF(数据!B183=0,"",数据!P183)</f>
        <v/>
      </c>
    </row>
    <row r="174" spans="1:7" x14ac:dyDescent="0.15">
      <c r="A174" s="6" t="str">
        <f>IF(数据!B184=0,"",数据!B184)</f>
        <v/>
      </c>
      <c r="B174" s="1" t="str">
        <f>IF(数据!B184=0,"",数据!D184)</f>
        <v/>
      </c>
      <c r="C174" s="1" t="str">
        <f>IF(数据!B184=0,"",数据!F184&amp;"-"&amp;数据!G184)</f>
        <v/>
      </c>
      <c r="D174" s="5" t="str">
        <f>IF(数据!B184=0,"",数据!I184&amp;数据!$I$1&amp;数据!J184&amp;数据!$J$1&amp;数据!K184&amp;数据!$K$1&amp;数据!L184&amp;数据!$L$1&amp;数据!M184&amp;数据!$M$1)</f>
        <v/>
      </c>
      <c r="E174" s="1" t="str">
        <f>IF(数据!B184=0,"",数据!N184)</f>
        <v/>
      </c>
      <c r="F174" s="1" t="str">
        <f>IF(数据!B184=0,"",数据!O184)</f>
        <v/>
      </c>
      <c r="G174" t="str">
        <f>IF(数据!B184=0,"",数据!P184)</f>
        <v/>
      </c>
    </row>
    <row r="175" spans="1:7" x14ac:dyDescent="0.15">
      <c r="A175" s="6" t="str">
        <f>IF(数据!B185=0,"",数据!B185)</f>
        <v/>
      </c>
      <c r="B175" s="1" t="str">
        <f>IF(数据!B185=0,"",数据!D185)</f>
        <v/>
      </c>
      <c r="C175" s="1" t="str">
        <f>IF(数据!B185=0,"",数据!F185&amp;"-"&amp;数据!G185)</f>
        <v/>
      </c>
      <c r="D175" s="5" t="str">
        <f>IF(数据!B185=0,"",数据!I185&amp;数据!$I$1&amp;数据!J185&amp;数据!$J$1&amp;数据!K185&amp;数据!$K$1&amp;数据!L185&amp;数据!$L$1&amp;数据!M185&amp;数据!$M$1)</f>
        <v/>
      </c>
      <c r="E175" s="1" t="str">
        <f>IF(数据!B185=0,"",数据!N185)</f>
        <v/>
      </c>
      <c r="F175" s="1" t="str">
        <f>IF(数据!B185=0,"",数据!O185)</f>
        <v/>
      </c>
      <c r="G175" t="str">
        <f>IF(数据!B185=0,"",数据!P185)</f>
        <v/>
      </c>
    </row>
    <row r="176" spans="1:7" x14ac:dyDescent="0.15">
      <c r="A176" s="6" t="str">
        <f>IF(数据!B186=0,"",数据!B186)</f>
        <v/>
      </c>
      <c r="B176" s="1" t="str">
        <f>IF(数据!B186=0,"",数据!D186)</f>
        <v/>
      </c>
      <c r="C176" s="1" t="str">
        <f>IF(数据!B186=0,"",数据!F186&amp;"-"&amp;数据!G186)</f>
        <v/>
      </c>
      <c r="D176" s="5" t="str">
        <f>IF(数据!B186=0,"",数据!I186&amp;数据!$I$1&amp;数据!J186&amp;数据!$J$1&amp;数据!K186&amp;数据!$K$1&amp;数据!L186&amp;数据!$L$1&amp;数据!M186&amp;数据!$M$1)</f>
        <v/>
      </c>
      <c r="E176" s="1" t="str">
        <f>IF(数据!B186=0,"",数据!N186)</f>
        <v/>
      </c>
      <c r="F176" s="1" t="str">
        <f>IF(数据!B186=0,"",数据!O186)</f>
        <v/>
      </c>
      <c r="G176" t="str">
        <f>IF(数据!B186=0,"",数据!P186)</f>
        <v/>
      </c>
    </row>
    <row r="177" spans="1:7" x14ac:dyDescent="0.15">
      <c r="A177" s="6" t="str">
        <f>IF(数据!B187=0,"",数据!B187)</f>
        <v/>
      </c>
      <c r="B177" s="1" t="str">
        <f>IF(数据!B187=0,"",数据!D187)</f>
        <v/>
      </c>
      <c r="C177" s="1" t="str">
        <f>IF(数据!B187=0,"",数据!F187&amp;"-"&amp;数据!G187)</f>
        <v/>
      </c>
      <c r="D177" s="5" t="str">
        <f>IF(数据!B187=0,"",数据!I187&amp;数据!$I$1&amp;数据!J187&amp;数据!$J$1&amp;数据!K187&amp;数据!$K$1&amp;数据!L187&amp;数据!$L$1&amp;数据!M187&amp;数据!$M$1)</f>
        <v/>
      </c>
      <c r="E177" s="1" t="str">
        <f>IF(数据!B187=0,"",数据!N187)</f>
        <v/>
      </c>
      <c r="F177" s="1" t="str">
        <f>IF(数据!B187=0,"",数据!O187)</f>
        <v/>
      </c>
      <c r="G177" t="str">
        <f>IF(数据!B187=0,"",数据!P187)</f>
        <v/>
      </c>
    </row>
    <row r="178" spans="1:7" x14ac:dyDescent="0.15">
      <c r="A178" s="6" t="str">
        <f>IF(数据!B188=0,"",数据!B188)</f>
        <v/>
      </c>
      <c r="B178" s="1" t="str">
        <f>IF(数据!B188=0,"",数据!D188)</f>
        <v/>
      </c>
      <c r="C178" s="1" t="str">
        <f>IF(数据!B188=0,"",数据!F188&amp;"-"&amp;数据!G188)</f>
        <v/>
      </c>
      <c r="D178" s="5" t="str">
        <f>IF(数据!B188=0,"",数据!I188&amp;数据!$I$1&amp;数据!J188&amp;数据!$J$1&amp;数据!K188&amp;数据!$K$1&amp;数据!L188&amp;数据!$L$1&amp;数据!M188&amp;数据!$M$1)</f>
        <v/>
      </c>
      <c r="E178" s="1" t="str">
        <f>IF(数据!B188=0,"",数据!N188)</f>
        <v/>
      </c>
      <c r="F178" s="1" t="str">
        <f>IF(数据!B188=0,"",数据!O188)</f>
        <v/>
      </c>
      <c r="G178" t="str">
        <f>IF(数据!B188=0,"",数据!P188)</f>
        <v/>
      </c>
    </row>
    <row r="179" spans="1:7" x14ac:dyDescent="0.15">
      <c r="A179" s="6" t="str">
        <f>IF(数据!B189=0,"",数据!B189)</f>
        <v/>
      </c>
      <c r="B179" s="1" t="str">
        <f>IF(数据!B189=0,"",数据!D189)</f>
        <v/>
      </c>
      <c r="C179" s="1" t="str">
        <f>IF(数据!B189=0,"",数据!F189&amp;"-"&amp;数据!G189)</f>
        <v/>
      </c>
      <c r="D179" s="5" t="str">
        <f>IF(数据!B189=0,"",数据!I189&amp;数据!$I$1&amp;数据!J189&amp;数据!$J$1&amp;数据!K189&amp;数据!$K$1&amp;数据!L189&amp;数据!$L$1&amp;数据!M189&amp;数据!$M$1)</f>
        <v/>
      </c>
      <c r="E179" s="1" t="str">
        <f>IF(数据!B189=0,"",数据!N189)</f>
        <v/>
      </c>
      <c r="F179" s="1" t="str">
        <f>IF(数据!B189=0,"",数据!O189)</f>
        <v/>
      </c>
      <c r="G179" t="str">
        <f>IF(数据!B189=0,"",数据!P189)</f>
        <v/>
      </c>
    </row>
    <row r="180" spans="1:7" x14ac:dyDescent="0.15">
      <c r="A180" s="6" t="str">
        <f>IF(数据!B190=0,"",数据!B190)</f>
        <v/>
      </c>
      <c r="B180" s="1" t="str">
        <f>IF(数据!B190=0,"",数据!D190)</f>
        <v/>
      </c>
      <c r="C180" s="1" t="str">
        <f>IF(数据!B190=0,"",数据!F190&amp;"-"&amp;数据!G190)</f>
        <v/>
      </c>
      <c r="D180" s="5" t="str">
        <f>IF(数据!B190=0,"",数据!I190&amp;数据!$I$1&amp;数据!J190&amp;数据!$J$1&amp;数据!K190&amp;数据!$K$1&amp;数据!L190&amp;数据!$L$1&amp;数据!M190&amp;数据!$M$1)</f>
        <v/>
      </c>
      <c r="E180" s="1" t="str">
        <f>IF(数据!B190=0,"",数据!N190)</f>
        <v/>
      </c>
      <c r="F180" s="1" t="str">
        <f>IF(数据!B190=0,"",数据!O190)</f>
        <v/>
      </c>
      <c r="G180" t="str">
        <f>IF(数据!B190=0,"",数据!P190)</f>
        <v/>
      </c>
    </row>
    <row r="181" spans="1:7" x14ac:dyDescent="0.15">
      <c r="A181" s="6" t="str">
        <f>IF(数据!B191=0,"",数据!B191)</f>
        <v/>
      </c>
      <c r="B181" s="1" t="str">
        <f>IF(数据!B191=0,"",数据!D191)</f>
        <v/>
      </c>
      <c r="C181" s="1" t="str">
        <f>IF(数据!B191=0,"",数据!F191&amp;"-"&amp;数据!G191)</f>
        <v/>
      </c>
      <c r="D181" s="5" t="str">
        <f>IF(数据!B191=0,"",数据!I191&amp;数据!$I$1&amp;数据!J191&amp;数据!$J$1&amp;数据!K191&amp;数据!$K$1&amp;数据!L191&amp;数据!$L$1&amp;数据!M191&amp;数据!$M$1)</f>
        <v/>
      </c>
      <c r="E181" s="1" t="str">
        <f>IF(数据!B191=0,"",数据!N191)</f>
        <v/>
      </c>
      <c r="F181" s="1" t="str">
        <f>IF(数据!B191=0,"",数据!O191)</f>
        <v/>
      </c>
      <c r="G181" t="str">
        <f>IF(数据!B191=0,"",数据!P191)</f>
        <v/>
      </c>
    </row>
    <row r="182" spans="1:7" x14ac:dyDescent="0.15">
      <c r="A182" s="6" t="str">
        <f>IF(数据!B192=0,"",数据!B192)</f>
        <v/>
      </c>
      <c r="B182" s="1" t="str">
        <f>IF(数据!B192=0,"",数据!D192)</f>
        <v/>
      </c>
      <c r="C182" s="1" t="str">
        <f>IF(数据!B192=0,"",数据!F192&amp;"-"&amp;数据!G192)</f>
        <v/>
      </c>
      <c r="D182" s="5" t="str">
        <f>IF(数据!B192=0,"",数据!I192&amp;数据!$I$1&amp;数据!J192&amp;数据!$J$1&amp;数据!K192&amp;数据!$K$1&amp;数据!L192&amp;数据!$L$1&amp;数据!M192&amp;数据!$M$1)</f>
        <v/>
      </c>
      <c r="E182" s="1" t="str">
        <f>IF(数据!B192=0,"",数据!N192)</f>
        <v/>
      </c>
      <c r="F182" s="1" t="str">
        <f>IF(数据!B192=0,"",数据!O192)</f>
        <v/>
      </c>
      <c r="G182" t="str">
        <f>IF(数据!B192=0,"",数据!P192)</f>
        <v/>
      </c>
    </row>
    <row r="183" spans="1:7" x14ac:dyDescent="0.15">
      <c r="A183" s="6" t="str">
        <f>IF(数据!B193=0,"",数据!B193)</f>
        <v/>
      </c>
      <c r="B183" s="1" t="str">
        <f>IF(数据!B193=0,"",数据!D193)</f>
        <v/>
      </c>
      <c r="C183" s="1" t="str">
        <f>IF(数据!B193=0,"",数据!F193&amp;"-"&amp;数据!G193)</f>
        <v/>
      </c>
      <c r="D183" s="5" t="str">
        <f>IF(数据!B193=0,"",数据!I193&amp;数据!$I$1&amp;数据!J193&amp;数据!$J$1&amp;数据!K193&amp;数据!$K$1&amp;数据!L193&amp;数据!$L$1&amp;数据!M193&amp;数据!$M$1)</f>
        <v/>
      </c>
      <c r="E183" s="1" t="str">
        <f>IF(数据!B193=0,"",数据!N193)</f>
        <v/>
      </c>
      <c r="F183" s="1" t="str">
        <f>IF(数据!B193=0,"",数据!O193)</f>
        <v/>
      </c>
      <c r="G183" t="str">
        <f>IF(数据!B193=0,"",数据!P193)</f>
        <v/>
      </c>
    </row>
    <row r="184" spans="1:7" x14ac:dyDescent="0.15">
      <c r="A184" s="6" t="str">
        <f>IF(数据!B194=0,"",数据!B194)</f>
        <v/>
      </c>
      <c r="B184" s="1" t="str">
        <f>IF(数据!B194=0,"",数据!D194)</f>
        <v/>
      </c>
      <c r="C184" s="1" t="str">
        <f>IF(数据!B194=0,"",数据!F194&amp;"-"&amp;数据!G194)</f>
        <v/>
      </c>
      <c r="D184" s="5" t="str">
        <f>IF(数据!B194=0,"",数据!I194&amp;数据!$I$1&amp;数据!J194&amp;数据!$J$1&amp;数据!K194&amp;数据!$K$1&amp;数据!L194&amp;数据!$L$1&amp;数据!M194&amp;数据!$M$1)</f>
        <v/>
      </c>
      <c r="E184" s="1" t="str">
        <f>IF(数据!B194=0,"",数据!N194)</f>
        <v/>
      </c>
      <c r="F184" s="1" t="str">
        <f>IF(数据!B194=0,"",数据!O194)</f>
        <v/>
      </c>
      <c r="G184" t="str">
        <f>IF(数据!B194=0,"",数据!P194)</f>
        <v/>
      </c>
    </row>
    <row r="185" spans="1:7" x14ac:dyDescent="0.15">
      <c r="A185" s="6" t="str">
        <f>IF(数据!B195=0,"",数据!B195)</f>
        <v/>
      </c>
      <c r="B185" s="1" t="str">
        <f>IF(数据!B195=0,"",数据!D195)</f>
        <v/>
      </c>
      <c r="C185" s="1" t="str">
        <f>IF(数据!B195=0,"",数据!F195&amp;"-"&amp;数据!G195)</f>
        <v/>
      </c>
      <c r="D185" s="5" t="str">
        <f>IF(数据!B195=0,"",数据!I195&amp;数据!$I$1&amp;数据!J195&amp;数据!$J$1&amp;数据!K195&amp;数据!$K$1&amp;数据!L195&amp;数据!$L$1&amp;数据!M195&amp;数据!$M$1)</f>
        <v/>
      </c>
      <c r="E185" s="1" t="str">
        <f>IF(数据!B195=0,"",数据!N195)</f>
        <v/>
      </c>
      <c r="F185" s="1" t="str">
        <f>IF(数据!B195=0,"",数据!O195)</f>
        <v/>
      </c>
      <c r="G185" t="str">
        <f>IF(数据!B195=0,"",数据!P195)</f>
        <v/>
      </c>
    </row>
    <row r="186" spans="1:7" x14ac:dyDescent="0.15">
      <c r="A186" s="6" t="str">
        <f>IF(数据!B196=0,"",数据!B196)</f>
        <v/>
      </c>
      <c r="B186" s="1" t="str">
        <f>IF(数据!B196=0,"",数据!D196)</f>
        <v/>
      </c>
      <c r="C186" s="1" t="str">
        <f>IF(数据!B196=0,"",数据!F196&amp;"-"&amp;数据!G196)</f>
        <v/>
      </c>
      <c r="D186" s="5" t="str">
        <f>IF(数据!B196=0,"",数据!I196&amp;数据!$I$1&amp;数据!J196&amp;数据!$J$1&amp;数据!K196&amp;数据!$K$1&amp;数据!L196&amp;数据!$L$1&amp;数据!M196&amp;数据!$M$1)</f>
        <v/>
      </c>
      <c r="E186" s="1" t="str">
        <f>IF(数据!B196=0,"",数据!N196)</f>
        <v/>
      </c>
      <c r="F186" s="1" t="str">
        <f>IF(数据!B196=0,"",数据!O196)</f>
        <v/>
      </c>
      <c r="G186" t="str">
        <f>IF(数据!B196=0,"",数据!P196)</f>
        <v/>
      </c>
    </row>
    <row r="187" spans="1:7" x14ac:dyDescent="0.15">
      <c r="A187" s="6" t="str">
        <f>IF(数据!B197=0,"",数据!B197)</f>
        <v/>
      </c>
      <c r="B187" s="1" t="str">
        <f>IF(数据!B197=0,"",数据!D197)</f>
        <v/>
      </c>
      <c r="C187" s="1" t="str">
        <f>IF(数据!B197=0,"",数据!F197&amp;"-"&amp;数据!G197)</f>
        <v/>
      </c>
      <c r="D187" s="5" t="str">
        <f>IF(数据!B197=0,"",数据!I197&amp;数据!$I$1&amp;数据!J197&amp;数据!$J$1&amp;数据!K197&amp;数据!$K$1&amp;数据!L197&amp;数据!$L$1&amp;数据!M197&amp;数据!$M$1)</f>
        <v/>
      </c>
      <c r="E187" s="1" t="str">
        <f>IF(数据!B197=0,"",数据!N197)</f>
        <v/>
      </c>
      <c r="F187" s="1" t="str">
        <f>IF(数据!B197=0,"",数据!O197)</f>
        <v/>
      </c>
      <c r="G187" t="str">
        <f>IF(数据!B197=0,"",数据!P197)</f>
        <v/>
      </c>
    </row>
    <row r="188" spans="1:7" x14ac:dyDescent="0.15">
      <c r="A188" s="6" t="str">
        <f>IF(数据!B182=0,"",数据!B182)</f>
        <v/>
      </c>
      <c r="B188" s="1" t="str">
        <f>IF(数据!B182=0,"",数据!D182)</f>
        <v/>
      </c>
      <c r="C188" s="1" t="str">
        <f>IF(数据!B182=0,"",数据!F182&amp;"-"&amp;数据!G182)</f>
        <v/>
      </c>
      <c r="D188" s="5" t="str">
        <f>IF(数据!B182=0,"",数据!I182&amp;数据!$I$1&amp;数据!J182&amp;数据!$J$1&amp;数据!K182&amp;数据!$K$1&amp;数据!L182&amp;数据!$L$1&amp;数据!M182&amp;数据!$M$1)</f>
        <v/>
      </c>
      <c r="E188" s="1" t="str">
        <f>IF(数据!B182=0,"",数据!N182)</f>
        <v/>
      </c>
      <c r="F188" s="1" t="str">
        <f>IF(数据!B182=0,"",数据!O182)</f>
        <v/>
      </c>
      <c r="G188" t="str">
        <f>IF(数据!B182=0,"",数据!P182)</f>
        <v/>
      </c>
    </row>
    <row r="189" spans="1:7" x14ac:dyDescent="0.15">
      <c r="A189" s="6" t="str">
        <f>IF(数据!B183=0,"",数据!B183)</f>
        <v/>
      </c>
      <c r="B189" s="1" t="str">
        <f>IF(数据!B183=0,"",数据!D183)</f>
        <v/>
      </c>
      <c r="C189" s="1" t="str">
        <f>IF(数据!B183=0,"",数据!F183&amp;"-"&amp;数据!G183)</f>
        <v/>
      </c>
      <c r="D189" s="5" t="str">
        <f>IF(数据!B183=0,"",数据!I183&amp;数据!$I$1&amp;数据!J183&amp;数据!$J$1&amp;数据!K183&amp;数据!$K$1&amp;数据!L183&amp;数据!$L$1&amp;数据!M183&amp;数据!$M$1)</f>
        <v/>
      </c>
      <c r="E189" s="1" t="str">
        <f>IF(数据!B183=0,"",数据!N183)</f>
        <v/>
      </c>
      <c r="F189" s="1" t="str">
        <f>IF(数据!B183=0,"",数据!O183)</f>
        <v/>
      </c>
      <c r="G189" t="str">
        <f>IF(数据!B183=0,"",数据!P183)</f>
        <v/>
      </c>
    </row>
    <row r="190" spans="1:7" x14ac:dyDescent="0.15">
      <c r="A190" s="6" t="str">
        <f>IF(数据!B184=0,"",数据!B184)</f>
        <v/>
      </c>
      <c r="B190" s="1" t="str">
        <f>IF(数据!B184=0,"",数据!D184)</f>
        <v/>
      </c>
      <c r="C190" s="1" t="str">
        <f>IF(数据!B184=0,"",数据!F184&amp;"-"&amp;数据!G184)</f>
        <v/>
      </c>
      <c r="D190" s="5" t="str">
        <f>IF(数据!B184=0,"",数据!I184&amp;数据!$I$1&amp;数据!J184&amp;数据!$J$1&amp;数据!K184&amp;数据!$K$1&amp;数据!L184&amp;数据!$L$1&amp;数据!M184&amp;数据!$M$1)</f>
        <v/>
      </c>
      <c r="E190" s="1" t="str">
        <f>IF(数据!B184=0,"",数据!N184)</f>
        <v/>
      </c>
      <c r="F190" s="1" t="str">
        <f>IF(数据!B184=0,"",数据!O184)</f>
        <v/>
      </c>
      <c r="G190" t="str">
        <f>IF(数据!B184=0,"",数据!P184)</f>
        <v/>
      </c>
    </row>
    <row r="191" spans="1:7" x14ac:dyDescent="0.15">
      <c r="A191" s="6" t="str">
        <f>IF(数据!B184=0,"",数据!B184)</f>
        <v/>
      </c>
      <c r="B191" s="1" t="str">
        <f>IF(数据!B184=0,"",数据!D184)</f>
        <v/>
      </c>
      <c r="C191" s="1" t="str">
        <f>IF(数据!B184=0,"",数据!F184&amp;"-"&amp;数据!G184)</f>
        <v/>
      </c>
      <c r="D191" s="5" t="str">
        <f>IF(数据!B184=0,"",数据!I184&amp;数据!$I$1&amp;数据!J184&amp;数据!$J$1&amp;数据!K184&amp;数据!$K$1&amp;数据!L184&amp;数据!$L$1&amp;数据!M184&amp;数据!$M$1)</f>
        <v/>
      </c>
      <c r="E191" s="1" t="str">
        <f>IF(数据!B184=0,"",数据!N184)</f>
        <v/>
      </c>
      <c r="F191" s="1" t="str">
        <f>IF(数据!B184=0,"",数据!O184)</f>
        <v/>
      </c>
      <c r="G191" t="str">
        <f>IF(数据!B184=0,"",数据!P184)</f>
        <v/>
      </c>
    </row>
    <row r="192" spans="1:7" x14ac:dyDescent="0.15">
      <c r="A192" s="6" t="str">
        <f>IF(数据!B185=0,"",数据!B185)</f>
        <v/>
      </c>
      <c r="B192" s="1" t="str">
        <f>IF(数据!B185=0,"",数据!D185)</f>
        <v/>
      </c>
      <c r="C192" s="1" t="str">
        <f>IF(数据!B185=0,"",数据!F185&amp;"-"&amp;数据!G185)</f>
        <v/>
      </c>
      <c r="D192" s="5" t="str">
        <f>IF(数据!B185=0,"",数据!I185&amp;数据!$I$1&amp;数据!J185&amp;数据!$J$1&amp;数据!K185&amp;数据!$K$1&amp;数据!L185&amp;数据!$L$1&amp;数据!M185&amp;数据!$M$1)</f>
        <v/>
      </c>
      <c r="E192" s="1" t="str">
        <f>IF(数据!B185=0,"",数据!N185)</f>
        <v/>
      </c>
      <c r="F192" s="1" t="str">
        <f>IF(数据!B185=0,"",数据!O185)</f>
        <v/>
      </c>
      <c r="G192" t="str">
        <f>IF(数据!B185=0,"",数据!P185)</f>
        <v/>
      </c>
    </row>
    <row r="193" spans="1:7" x14ac:dyDescent="0.15">
      <c r="A193" s="6" t="str">
        <f>IF(数据!B186=0,"",数据!B186)</f>
        <v/>
      </c>
      <c r="B193" s="1" t="str">
        <f>IF(数据!B186=0,"",数据!D186)</f>
        <v/>
      </c>
      <c r="C193" s="1" t="str">
        <f>IF(数据!B186=0,"",数据!F186&amp;"-"&amp;数据!G186)</f>
        <v/>
      </c>
      <c r="D193" s="5" t="str">
        <f>IF(数据!B186=0,"",数据!I186&amp;数据!$I$1&amp;数据!J186&amp;数据!$J$1&amp;数据!K186&amp;数据!$K$1&amp;数据!L186&amp;数据!$L$1&amp;数据!M186&amp;数据!$M$1)</f>
        <v/>
      </c>
      <c r="E193" s="1" t="str">
        <f>IF(数据!B186=0,"",数据!N186)</f>
        <v/>
      </c>
      <c r="F193" s="1" t="str">
        <f>IF(数据!B186=0,"",数据!O186)</f>
        <v/>
      </c>
      <c r="G193" t="str">
        <f>IF(数据!B186=0,"",数据!P186)</f>
        <v/>
      </c>
    </row>
  </sheetData>
  <autoFilter ref="A1:J193" xr:uid="{D50372B0-40DF-4DC2-BCDA-D7BE36C0B319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E1B2-5092-4B29-AA10-D1964AA4D7F8}">
  <sheetPr codeName="Sheet2"/>
  <dimension ref="A1:Y144"/>
  <sheetViews>
    <sheetView tabSelected="1" topLeftCell="A15" workbookViewId="0">
      <selection activeCell="F51" sqref="F51"/>
    </sheetView>
  </sheetViews>
  <sheetFormatPr defaultRowHeight="13.5" x14ac:dyDescent="0.15"/>
  <cols>
    <col min="1" max="1" width="12" style="11" bestFit="1" customWidth="1"/>
    <col min="2" max="2" width="34" style="11" bestFit="1" customWidth="1"/>
    <col min="3" max="3" width="8.75" style="11" bestFit="1" customWidth="1"/>
    <col min="4" max="5" width="9.625" style="11" customWidth="1"/>
    <col min="6" max="7" width="7" style="11" customWidth="1"/>
    <col min="8" max="8" width="13.625" style="11" customWidth="1"/>
    <col min="9" max="11" width="7.125" style="11" bestFit="1" customWidth="1"/>
    <col min="12" max="15" width="6.625" style="11" customWidth="1"/>
    <col min="16" max="16" width="6.625" style="8" customWidth="1"/>
    <col min="17" max="17" width="12.75" style="8" bestFit="1" customWidth="1"/>
    <col min="18" max="18" width="26.125" style="8" bestFit="1" customWidth="1"/>
    <col min="19" max="21" width="9" style="8"/>
    <col min="22" max="22" width="12.5" style="8" customWidth="1"/>
    <col min="23" max="261" width="9" style="8"/>
    <col min="262" max="262" width="12" style="8" bestFit="1" customWidth="1"/>
    <col min="263" max="263" width="34" style="8" bestFit="1" customWidth="1"/>
    <col min="264" max="264" width="9.625" style="8" customWidth="1"/>
    <col min="265" max="266" width="7" style="8" customWidth="1"/>
    <col min="267" max="267" width="13.625" style="8" customWidth="1"/>
    <col min="268" max="272" width="6.625" style="8" customWidth="1"/>
    <col min="273" max="273" width="12.75" style="8" bestFit="1" customWidth="1"/>
    <col min="274" max="274" width="26.125" style="8" bestFit="1" customWidth="1"/>
    <col min="275" max="277" width="9" style="8"/>
    <col min="278" max="278" width="12.5" style="8" customWidth="1"/>
    <col min="279" max="517" width="9" style="8"/>
    <col min="518" max="518" width="12" style="8" bestFit="1" customWidth="1"/>
    <col min="519" max="519" width="34" style="8" bestFit="1" customWidth="1"/>
    <col min="520" max="520" width="9.625" style="8" customWidth="1"/>
    <col min="521" max="522" width="7" style="8" customWidth="1"/>
    <col min="523" max="523" width="13.625" style="8" customWidth="1"/>
    <col min="524" max="528" width="6.625" style="8" customWidth="1"/>
    <col min="529" max="529" width="12.75" style="8" bestFit="1" customWidth="1"/>
    <col min="530" max="530" width="26.125" style="8" bestFit="1" customWidth="1"/>
    <col min="531" max="533" width="9" style="8"/>
    <col min="534" max="534" width="12.5" style="8" customWidth="1"/>
    <col min="535" max="773" width="9" style="8"/>
    <col min="774" max="774" width="12" style="8" bestFit="1" customWidth="1"/>
    <col min="775" max="775" width="34" style="8" bestFit="1" customWidth="1"/>
    <col min="776" max="776" width="9.625" style="8" customWidth="1"/>
    <col min="777" max="778" width="7" style="8" customWidth="1"/>
    <col min="779" max="779" width="13.625" style="8" customWidth="1"/>
    <col min="780" max="784" width="6.625" style="8" customWidth="1"/>
    <col min="785" max="785" width="12.75" style="8" bestFit="1" customWidth="1"/>
    <col min="786" max="786" width="26.125" style="8" bestFit="1" customWidth="1"/>
    <col min="787" max="789" width="9" style="8"/>
    <col min="790" max="790" width="12.5" style="8" customWidth="1"/>
    <col min="791" max="1029" width="9" style="8"/>
    <col min="1030" max="1030" width="12" style="8" bestFit="1" customWidth="1"/>
    <col min="1031" max="1031" width="34" style="8" bestFit="1" customWidth="1"/>
    <col min="1032" max="1032" width="9.625" style="8" customWidth="1"/>
    <col min="1033" max="1034" width="7" style="8" customWidth="1"/>
    <col min="1035" max="1035" width="13.625" style="8" customWidth="1"/>
    <col min="1036" max="1040" width="6.625" style="8" customWidth="1"/>
    <col min="1041" max="1041" width="12.75" style="8" bestFit="1" customWidth="1"/>
    <col min="1042" max="1042" width="26.125" style="8" bestFit="1" customWidth="1"/>
    <col min="1043" max="1045" width="9" style="8"/>
    <col min="1046" max="1046" width="12.5" style="8" customWidth="1"/>
    <col min="1047" max="1285" width="9" style="8"/>
    <col min="1286" max="1286" width="12" style="8" bestFit="1" customWidth="1"/>
    <col min="1287" max="1287" width="34" style="8" bestFit="1" customWidth="1"/>
    <col min="1288" max="1288" width="9.625" style="8" customWidth="1"/>
    <col min="1289" max="1290" width="7" style="8" customWidth="1"/>
    <col min="1291" max="1291" width="13.625" style="8" customWidth="1"/>
    <col min="1292" max="1296" width="6.625" style="8" customWidth="1"/>
    <col min="1297" max="1297" width="12.75" style="8" bestFit="1" customWidth="1"/>
    <col min="1298" max="1298" width="26.125" style="8" bestFit="1" customWidth="1"/>
    <col min="1299" max="1301" width="9" style="8"/>
    <col min="1302" max="1302" width="12.5" style="8" customWidth="1"/>
    <col min="1303" max="1541" width="9" style="8"/>
    <col min="1542" max="1542" width="12" style="8" bestFit="1" customWidth="1"/>
    <col min="1543" max="1543" width="34" style="8" bestFit="1" customWidth="1"/>
    <col min="1544" max="1544" width="9.625" style="8" customWidth="1"/>
    <col min="1545" max="1546" width="7" style="8" customWidth="1"/>
    <col min="1547" max="1547" width="13.625" style="8" customWidth="1"/>
    <col min="1548" max="1552" width="6.625" style="8" customWidth="1"/>
    <col min="1553" max="1553" width="12.75" style="8" bestFit="1" customWidth="1"/>
    <col min="1554" max="1554" width="26.125" style="8" bestFit="1" customWidth="1"/>
    <col min="1555" max="1557" width="9" style="8"/>
    <col min="1558" max="1558" width="12.5" style="8" customWidth="1"/>
    <col min="1559" max="1797" width="9" style="8"/>
    <col min="1798" max="1798" width="12" style="8" bestFit="1" customWidth="1"/>
    <col min="1799" max="1799" width="34" style="8" bestFit="1" customWidth="1"/>
    <col min="1800" max="1800" width="9.625" style="8" customWidth="1"/>
    <col min="1801" max="1802" width="7" style="8" customWidth="1"/>
    <col min="1803" max="1803" width="13.625" style="8" customWidth="1"/>
    <col min="1804" max="1808" width="6.625" style="8" customWidth="1"/>
    <col min="1809" max="1809" width="12.75" style="8" bestFit="1" customWidth="1"/>
    <col min="1810" max="1810" width="26.125" style="8" bestFit="1" customWidth="1"/>
    <col min="1811" max="1813" width="9" style="8"/>
    <col min="1814" max="1814" width="12.5" style="8" customWidth="1"/>
    <col min="1815" max="2053" width="9" style="8"/>
    <col min="2054" max="2054" width="12" style="8" bestFit="1" customWidth="1"/>
    <col min="2055" max="2055" width="34" style="8" bestFit="1" customWidth="1"/>
    <col min="2056" max="2056" width="9.625" style="8" customWidth="1"/>
    <col min="2057" max="2058" width="7" style="8" customWidth="1"/>
    <col min="2059" max="2059" width="13.625" style="8" customWidth="1"/>
    <col min="2060" max="2064" width="6.625" style="8" customWidth="1"/>
    <col min="2065" max="2065" width="12.75" style="8" bestFit="1" customWidth="1"/>
    <col min="2066" max="2066" width="26.125" style="8" bestFit="1" customWidth="1"/>
    <col min="2067" max="2069" width="9" style="8"/>
    <col min="2070" max="2070" width="12.5" style="8" customWidth="1"/>
    <col min="2071" max="2309" width="9" style="8"/>
    <col min="2310" max="2310" width="12" style="8" bestFit="1" customWidth="1"/>
    <col min="2311" max="2311" width="34" style="8" bestFit="1" customWidth="1"/>
    <col min="2312" max="2312" width="9.625" style="8" customWidth="1"/>
    <col min="2313" max="2314" width="7" style="8" customWidth="1"/>
    <col min="2315" max="2315" width="13.625" style="8" customWidth="1"/>
    <col min="2316" max="2320" width="6.625" style="8" customWidth="1"/>
    <col min="2321" max="2321" width="12.75" style="8" bestFit="1" customWidth="1"/>
    <col min="2322" max="2322" width="26.125" style="8" bestFit="1" customWidth="1"/>
    <col min="2323" max="2325" width="9" style="8"/>
    <col min="2326" max="2326" width="12.5" style="8" customWidth="1"/>
    <col min="2327" max="2565" width="9" style="8"/>
    <col min="2566" max="2566" width="12" style="8" bestFit="1" customWidth="1"/>
    <col min="2567" max="2567" width="34" style="8" bestFit="1" customWidth="1"/>
    <col min="2568" max="2568" width="9.625" style="8" customWidth="1"/>
    <col min="2569" max="2570" width="7" style="8" customWidth="1"/>
    <col min="2571" max="2571" width="13.625" style="8" customWidth="1"/>
    <col min="2572" max="2576" width="6.625" style="8" customWidth="1"/>
    <col min="2577" max="2577" width="12.75" style="8" bestFit="1" customWidth="1"/>
    <col min="2578" max="2578" width="26.125" style="8" bestFit="1" customWidth="1"/>
    <col min="2579" max="2581" width="9" style="8"/>
    <col min="2582" max="2582" width="12.5" style="8" customWidth="1"/>
    <col min="2583" max="2821" width="9" style="8"/>
    <col min="2822" max="2822" width="12" style="8" bestFit="1" customWidth="1"/>
    <col min="2823" max="2823" width="34" style="8" bestFit="1" customWidth="1"/>
    <col min="2824" max="2824" width="9.625" style="8" customWidth="1"/>
    <col min="2825" max="2826" width="7" style="8" customWidth="1"/>
    <col min="2827" max="2827" width="13.625" style="8" customWidth="1"/>
    <col min="2828" max="2832" width="6.625" style="8" customWidth="1"/>
    <col min="2833" max="2833" width="12.75" style="8" bestFit="1" customWidth="1"/>
    <col min="2834" max="2834" width="26.125" style="8" bestFit="1" customWidth="1"/>
    <col min="2835" max="2837" width="9" style="8"/>
    <col min="2838" max="2838" width="12.5" style="8" customWidth="1"/>
    <col min="2839" max="3077" width="9" style="8"/>
    <col min="3078" max="3078" width="12" style="8" bestFit="1" customWidth="1"/>
    <col min="3079" max="3079" width="34" style="8" bestFit="1" customWidth="1"/>
    <col min="3080" max="3080" width="9.625" style="8" customWidth="1"/>
    <col min="3081" max="3082" width="7" style="8" customWidth="1"/>
    <col min="3083" max="3083" width="13.625" style="8" customWidth="1"/>
    <col min="3084" max="3088" width="6.625" style="8" customWidth="1"/>
    <col min="3089" max="3089" width="12.75" style="8" bestFit="1" customWidth="1"/>
    <col min="3090" max="3090" width="26.125" style="8" bestFit="1" customWidth="1"/>
    <col min="3091" max="3093" width="9" style="8"/>
    <col min="3094" max="3094" width="12.5" style="8" customWidth="1"/>
    <col min="3095" max="3333" width="9" style="8"/>
    <col min="3334" max="3334" width="12" style="8" bestFit="1" customWidth="1"/>
    <col min="3335" max="3335" width="34" style="8" bestFit="1" customWidth="1"/>
    <col min="3336" max="3336" width="9.625" style="8" customWidth="1"/>
    <col min="3337" max="3338" width="7" style="8" customWidth="1"/>
    <col min="3339" max="3339" width="13.625" style="8" customWidth="1"/>
    <col min="3340" max="3344" width="6.625" style="8" customWidth="1"/>
    <col min="3345" max="3345" width="12.75" style="8" bestFit="1" customWidth="1"/>
    <col min="3346" max="3346" width="26.125" style="8" bestFit="1" customWidth="1"/>
    <col min="3347" max="3349" width="9" style="8"/>
    <col min="3350" max="3350" width="12.5" style="8" customWidth="1"/>
    <col min="3351" max="3589" width="9" style="8"/>
    <col min="3590" max="3590" width="12" style="8" bestFit="1" customWidth="1"/>
    <col min="3591" max="3591" width="34" style="8" bestFit="1" customWidth="1"/>
    <col min="3592" max="3592" width="9.625" style="8" customWidth="1"/>
    <col min="3593" max="3594" width="7" style="8" customWidth="1"/>
    <col min="3595" max="3595" width="13.625" style="8" customWidth="1"/>
    <col min="3596" max="3600" width="6.625" style="8" customWidth="1"/>
    <col min="3601" max="3601" width="12.75" style="8" bestFit="1" customWidth="1"/>
    <col min="3602" max="3602" width="26.125" style="8" bestFit="1" customWidth="1"/>
    <col min="3603" max="3605" width="9" style="8"/>
    <col min="3606" max="3606" width="12.5" style="8" customWidth="1"/>
    <col min="3607" max="3845" width="9" style="8"/>
    <col min="3846" max="3846" width="12" style="8" bestFit="1" customWidth="1"/>
    <col min="3847" max="3847" width="34" style="8" bestFit="1" customWidth="1"/>
    <col min="3848" max="3848" width="9.625" style="8" customWidth="1"/>
    <col min="3849" max="3850" width="7" style="8" customWidth="1"/>
    <col min="3851" max="3851" width="13.625" style="8" customWidth="1"/>
    <col min="3852" max="3856" width="6.625" style="8" customWidth="1"/>
    <col min="3857" max="3857" width="12.75" style="8" bestFit="1" customWidth="1"/>
    <col min="3858" max="3858" width="26.125" style="8" bestFit="1" customWidth="1"/>
    <col min="3859" max="3861" width="9" style="8"/>
    <col min="3862" max="3862" width="12.5" style="8" customWidth="1"/>
    <col min="3863" max="4101" width="9" style="8"/>
    <col min="4102" max="4102" width="12" style="8" bestFit="1" customWidth="1"/>
    <col min="4103" max="4103" width="34" style="8" bestFit="1" customWidth="1"/>
    <col min="4104" max="4104" width="9.625" style="8" customWidth="1"/>
    <col min="4105" max="4106" width="7" style="8" customWidth="1"/>
    <col min="4107" max="4107" width="13.625" style="8" customWidth="1"/>
    <col min="4108" max="4112" width="6.625" style="8" customWidth="1"/>
    <col min="4113" max="4113" width="12.75" style="8" bestFit="1" customWidth="1"/>
    <col min="4114" max="4114" width="26.125" style="8" bestFit="1" customWidth="1"/>
    <col min="4115" max="4117" width="9" style="8"/>
    <col min="4118" max="4118" width="12.5" style="8" customWidth="1"/>
    <col min="4119" max="4357" width="9" style="8"/>
    <col min="4358" max="4358" width="12" style="8" bestFit="1" customWidth="1"/>
    <col min="4359" max="4359" width="34" style="8" bestFit="1" customWidth="1"/>
    <col min="4360" max="4360" width="9.625" style="8" customWidth="1"/>
    <col min="4361" max="4362" width="7" style="8" customWidth="1"/>
    <col min="4363" max="4363" width="13.625" style="8" customWidth="1"/>
    <col min="4364" max="4368" width="6.625" style="8" customWidth="1"/>
    <col min="4369" max="4369" width="12.75" style="8" bestFit="1" customWidth="1"/>
    <col min="4370" max="4370" width="26.125" style="8" bestFit="1" customWidth="1"/>
    <col min="4371" max="4373" width="9" style="8"/>
    <col min="4374" max="4374" width="12.5" style="8" customWidth="1"/>
    <col min="4375" max="4613" width="9" style="8"/>
    <col min="4614" max="4614" width="12" style="8" bestFit="1" customWidth="1"/>
    <col min="4615" max="4615" width="34" style="8" bestFit="1" customWidth="1"/>
    <col min="4616" max="4616" width="9.625" style="8" customWidth="1"/>
    <col min="4617" max="4618" width="7" style="8" customWidth="1"/>
    <col min="4619" max="4619" width="13.625" style="8" customWidth="1"/>
    <col min="4620" max="4624" width="6.625" style="8" customWidth="1"/>
    <col min="4625" max="4625" width="12.75" style="8" bestFit="1" customWidth="1"/>
    <col min="4626" max="4626" width="26.125" style="8" bestFit="1" customWidth="1"/>
    <col min="4627" max="4629" width="9" style="8"/>
    <col min="4630" max="4630" width="12.5" style="8" customWidth="1"/>
    <col min="4631" max="4869" width="9" style="8"/>
    <col min="4870" max="4870" width="12" style="8" bestFit="1" customWidth="1"/>
    <col min="4871" max="4871" width="34" style="8" bestFit="1" customWidth="1"/>
    <col min="4872" max="4872" width="9.625" style="8" customWidth="1"/>
    <col min="4873" max="4874" width="7" style="8" customWidth="1"/>
    <col min="4875" max="4875" width="13.625" style="8" customWidth="1"/>
    <col min="4876" max="4880" width="6.625" style="8" customWidth="1"/>
    <col min="4881" max="4881" width="12.75" style="8" bestFit="1" customWidth="1"/>
    <col min="4882" max="4882" width="26.125" style="8" bestFit="1" customWidth="1"/>
    <col min="4883" max="4885" width="9" style="8"/>
    <col min="4886" max="4886" width="12.5" style="8" customWidth="1"/>
    <col min="4887" max="5125" width="9" style="8"/>
    <col min="5126" max="5126" width="12" style="8" bestFit="1" customWidth="1"/>
    <col min="5127" max="5127" width="34" style="8" bestFit="1" customWidth="1"/>
    <col min="5128" max="5128" width="9.625" style="8" customWidth="1"/>
    <col min="5129" max="5130" width="7" style="8" customWidth="1"/>
    <col min="5131" max="5131" width="13.625" style="8" customWidth="1"/>
    <col min="5132" max="5136" width="6.625" style="8" customWidth="1"/>
    <col min="5137" max="5137" width="12.75" style="8" bestFit="1" customWidth="1"/>
    <col min="5138" max="5138" width="26.125" style="8" bestFit="1" customWidth="1"/>
    <col min="5139" max="5141" width="9" style="8"/>
    <col min="5142" max="5142" width="12.5" style="8" customWidth="1"/>
    <col min="5143" max="5381" width="9" style="8"/>
    <col min="5382" max="5382" width="12" style="8" bestFit="1" customWidth="1"/>
    <col min="5383" max="5383" width="34" style="8" bestFit="1" customWidth="1"/>
    <col min="5384" max="5384" width="9.625" style="8" customWidth="1"/>
    <col min="5385" max="5386" width="7" style="8" customWidth="1"/>
    <col min="5387" max="5387" width="13.625" style="8" customWidth="1"/>
    <col min="5388" max="5392" width="6.625" style="8" customWidth="1"/>
    <col min="5393" max="5393" width="12.75" style="8" bestFit="1" customWidth="1"/>
    <col min="5394" max="5394" width="26.125" style="8" bestFit="1" customWidth="1"/>
    <col min="5395" max="5397" width="9" style="8"/>
    <col min="5398" max="5398" width="12.5" style="8" customWidth="1"/>
    <col min="5399" max="5637" width="9" style="8"/>
    <col min="5638" max="5638" width="12" style="8" bestFit="1" customWidth="1"/>
    <col min="5639" max="5639" width="34" style="8" bestFit="1" customWidth="1"/>
    <col min="5640" max="5640" width="9.625" style="8" customWidth="1"/>
    <col min="5641" max="5642" width="7" style="8" customWidth="1"/>
    <col min="5643" max="5643" width="13.625" style="8" customWidth="1"/>
    <col min="5644" max="5648" width="6.625" style="8" customWidth="1"/>
    <col min="5649" max="5649" width="12.75" style="8" bestFit="1" customWidth="1"/>
    <col min="5650" max="5650" width="26.125" style="8" bestFit="1" customWidth="1"/>
    <col min="5651" max="5653" width="9" style="8"/>
    <col min="5654" max="5654" width="12.5" style="8" customWidth="1"/>
    <col min="5655" max="5893" width="9" style="8"/>
    <col min="5894" max="5894" width="12" style="8" bestFit="1" customWidth="1"/>
    <col min="5895" max="5895" width="34" style="8" bestFit="1" customWidth="1"/>
    <col min="5896" max="5896" width="9.625" style="8" customWidth="1"/>
    <col min="5897" max="5898" width="7" style="8" customWidth="1"/>
    <col min="5899" max="5899" width="13.625" style="8" customWidth="1"/>
    <col min="5900" max="5904" width="6.625" style="8" customWidth="1"/>
    <col min="5905" max="5905" width="12.75" style="8" bestFit="1" customWidth="1"/>
    <col min="5906" max="5906" width="26.125" style="8" bestFit="1" customWidth="1"/>
    <col min="5907" max="5909" width="9" style="8"/>
    <col min="5910" max="5910" width="12.5" style="8" customWidth="1"/>
    <col min="5911" max="6149" width="9" style="8"/>
    <col min="6150" max="6150" width="12" style="8" bestFit="1" customWidth="1"/>
    <col min="6151" max="6151" width="34" style="8" bestFit="1" customWidth="1"/>
    <col min="6152" max="6152" width="9.625" style="8" customWidth="1"/>
    <col min="6153" max="6154" width="7" style="8" customWidth="1"/>
    <col min="6155" max="6155" width="13.625" style="8" customWidth="1"/>
    <col min="6156" max="6160" width="6.625" style="8" customWidth="1"/>
    <col min="6161" max="6161" width="12.75" style="8" bestFit="1" customWidth="1"/>
    <col min="6162" max="6162" width="26.125" style="8" bestFit="1" customWidth="1"/>
    <col min="6163" max="6165" width="9" style="8"/>
    <col min="6166" max="6166" width="12.5" style="8" customWidth="1"/>
    <col min="6167" max="6405" width="9" style="8"/>
    <col min="6406" max="6406" width="12" style="8" bestFit="1" customWidth="1"/>
    <col min="6407" max="6407" width="34" style="8" bestFit="1" customWidth="1"/>
    <col min="6408" max="6408" width="9.625" style="8" customWidth="1"/>
    <col min="6409" max="6410" width="7" style="8" customWidth="1"/>
    <col min="6411" max="6411" width="13.625" style="8" customWidth="1"/>
    <col min="6412" max="6416" width="6.625" style="8" customWidth="1"/>
    <col min="6417" max="6417" width="12.75" style="8" bestFit="1" customWidth="1"/>
    <col min="6418" max="6418" width="26.125" style="8" bestFit="1" customWidth="1"/>
    <col min="6419" max="6421" width="9" style="8"/>
    <col min="6422" max="6422" width="12.5" style="8" customWidth="1"/>
    <col min="6423" max="6661" width="9" style="8"/>
    <col min="6662" max="6662" width="12" style="8" bestFit="1" customWidth="1"/>
    <col min="6663" max="6663" width="34" style="8" bestFit="1" customWidth="1"/>
    <col min="6664" max="6664" width="9.625" style="8" customWidth="1"/>
    <col min="6665" max="6666" width="7" style="8" customWidth="1"/>
    <col min="6667" max="6667" width="13.625" style="8" customWidth="1"/>
    <col min="6668" max="6672" width="6.625" style="8" customWidth="1"/>
    <col min="6673" max="6673" width="12.75" style="8" bestFit="1" customWidth="1"/>
    <col min="6674" max="6674" width="26.125" style="8" bestFit="1" customWidth="1"/>
    <col min="6675" max="6677" width="9" style="8"/>
    <col min="6678" max="6678" width="12.5" style="8" customWidth="1"/>
    <col min="6679" max="6917" width="9" style="8"/>
    <col min="6918" max="6918" width="12" style="8" bestFit="1" customWidth="1"/>
    <col min="6919" max="6919" width="34" style="8" bestFit="1" customWidth="1"/>
    <col min="6920" max="6920" width="9.625" style="8" customWidth="1"/>
    <col min="6921" max="6922" width="7" style="8" customWidth="1"/>
    <col min="6923" max="6923" width="13.625" style="8" customWidth="1"/>
    <col min="6924" max="6928" width="6.625" style="8" customWidth="1"/>
    <col min="6929" max="6929" width="12.75" style="8" bestFit="1" customWidth="1"/>
    <col min="6930" max="6930" width="26.125" style="8" bestFit="1" customWidth="1"/>
    <col min="6931" max="6933" width="9" style="8"/>
    <col min="6934" max="6934" width="12.5" style="8" customWidth="1"/>
    <col min="6935" max="7173" width="9" style="8"/>
    <col min="7174" max="7174" width="12" style="8" bestFit="1" customWidth="1"/>
    <col min="7175" max="7175" width="34" style="8" bestFit="1" customWidth="1"/>
    <col min="7176" max="7176" width="9.625" style="8" customWidth="1"/>
    <col min="7177" max="7178" width="7" style="8" customWidth="1"/>
    <col min="7179" max="7179" width="13.625" style="8" customWidth="1"/>
    <col min="7180" max="7184" width="6.625" style="8" customWidth="1"/>
    <col min="7185" max="7185" width="12.75" style="8" bestFit="1" customWidth="1"/>
    <col min="7186" max="7186" width="26.125" style="8" bestFit="1" customWidth="1"/>
    <col min="7187" max="7189" width="9" style="8"/>
    <col min="7190" max="7190" width="12.5" style="8" customWidth="1"/>
    <col min="7191" max="7429" width="9" style="8"/>
    <col min="7430" max="7430" width="12" style="8" bestFit="1" customWidth="1"/>
    <col min="7431" max="7431" width="34" style="8" bestFit="1" customWidth="1"/>
    <col min="7432" max="7432" width="9.625" style="8" customWidth="1"/>
    <col min="7433" max="7434" width="7" style="8" customWidth="1"/>
    <col min="7435" max="7435" width="13.625" style="8" customWidth="1"/>
    <col min="7436" max="7440" width="6.625" style="8" customWidth="1"/>
    <col min="7441" max="7441" width="12.75" style="8" bestFit="1" customWidth="1"/>
    <col min="7442" max="7442" width="26.125" style="8" bestFit="1" customWidth="1"/>
    <col min="7443" max="7445" width="9" style="8"/>
    <col min="7446" max="7446" width="12.5" style="8" customWidth="1"/>
    <col min="7447" max="7685" width="9" style="8"/>
    <col min="7686" max="7686" width="12" style="8" bestFit="1" customWidth="1"/>
    <col min="7687" max="7687" width="34" style="8" bestFit="1" customWidth="1"/>
    <col min="7688" max="7688" width="9.625" style="8" customWidth="1"/>
    <col min="7689" max="7690" width="7" style="8" customWidth="1"/>
    <col min="7691" max="7691" width="13.625" style="8" customWidth="1"/>
    <col min="7692" max="7696" width="6.625" style="8" customWidth="1"/>
    <col min="7697" max="7697" width="12.75" style="8" bestFit="1" customWidth="1"/>
    <col min="7698" max="7698" width="26.125" style="8" bestFit="1" customWidth="1"/>
    <col min="7699" max="7701" width="9" style="8"/>
    <col min="7702" max="7702" width="12.5" style="8" customWidth="1"/>
    <col min="7703" max="7941" width="9" style="8"/>
    <col min="7942" max="7942" width="12" style="8" bestFit="1" customWidth="1"/>
    <col min="7943" max="7943" width="34" style="8" bestFit="1" customWidth="1"/>
    <col min="7944" max="7944" width="9.625" style="8" customWidth="1"/>
    <col min="7945" max="7946" width="7" style="8" customWidth="1"/>
    <col min="7947" max="7947" width="13.625" style="8" customWidth="1"/>
    <col min="7948" max="7952" width="6.625" style="8" customWidth="1"/>
    <col min="7953" max="7953" width="12.75" style="8" bestFit="1" customWidth="1"/>
    <col min="7954" max="7954" width="26.125" style="8" bestFit="1" customWidth="1"/>
    <col min="7955" max="7957" width="9" style="8"/>
    <col min="7958" max="7958" width="12.5" style="8" customWidth="1"/>
    <col min="7959" max="8197" width="9" style="8"/>
    <col min="8198" max="8198" width="12" style="8" bestFit="1" customWidth="1"/>
    <col min="8199" max="8199" width="34" style="8" bestFit="1" customWidth="1"/>
    <col min="8200" max="8200" width="9.625" style="8" customWidth="1"/>
    <col min="8201" max="8202" width="7" style="8" customWidth="1"/>
    <col min="8203" max="8203" width="13.625" style="8" customWidth="1"/>
    <col min="8204" max="8208" width="6.625" style="8" customWidth="1"/>
    <col min="8209" max="8209" width="12.75" style="8" bestFit="1" customWidth="1"/>
    <col min="8210" max="8210" width="26.125" style="8" bestFit="1" customWidth="1"/>
    <col min="8211" max="8213" width="9" style="8"/>
    <col min="8214" max="8214" width="12.5" style="8" customWidth="1"/>
    <col min="8215" max="8453" width="9" style="8"/>
    <col min="8454" max="8454" width="12" style="8" bestFit="1" customWidth="1"/>
    <col min="8455" max="8455" width="34" style="8" bestFit="1" customWidth="1"/>
    <col min="8456" max="8456" width="9.625" style="8" customWidth="1"/>
    <col min="8457" max="8458" width="7" style="8" customWidth="1"/>
    <col min="8459" max="8459" width="13.625" style="8" customWidth="1"/>
    <col min="8460" max="8464" width="6.625" style="8" customWidth="1"/>
    <col min="8465" max="8465" width="12.75" style="8" bestFit="1" customWidth="1"/>
    <col min="8466" max="8466" width="26.125" style="8" bestFit="1" customWidth="1"/>
    <col min="8467" max="8469" width="9" style="8"/>
    <col min="8470" max="8470" width="12.5" style="8" customWidth="1"/>
    <col min="8471" max="8709" width="9" style="8"/>
    <col min="8710" max="8710" width="12" style="8" bestFit="1" customWidth="1"/>
    <col min="8711" max="8711" width="34" style="8" bestFit="1" customWidth="1"/>
    <col min="8712" max="8712" width="9.625" style="8" customWidth="1"/>
    <col min="8713" max="8714" width="7" style="8" customWidth="1"/>
    <col min="8715" max="8715" width="13.625" style="8" customWidth="1"/>
    <col min="8716" max="8720" width="6.625" style="8" customWidth="1"/>
    <col min="8721" max="8721" width="12.75" style="8" bestFit="1" customWidth="1"/>
    <col min="8722" max="8722" width="26.125" style="8" bestFit="1" customWidth="1"/>
    <col min="8723" max="8725" width="9" style="8"/>
    <col min="8726" max="8726" width="12.5" style="8" customWidth="1"/>
    <col min="8727" max="8965" width="9" style="8"/>
    <col min="8966" max="8966" width="12" style="8" bestFit="1" customWidth="1"/>
    <col min="8967" max="8967" width="34" style="8" bestFit="1" customWidth="1"/>
    <col min="8968" max="8968" width="9.625" style="8" customWidth="1"/>
    <col min="8969" max="8970" width="7" style="8" customWidth="1"/>
    <col min="8971" max="8971" width="13.625" style="8" customWidth="1"/>
    <col min="8972" max="8976" width="6.625" style="8" customWidth="1"/>
    <col min="8977" max="8977" width="12.75" style="8" bestFit="1" customWidth="1"/>
    <col min="8978" max="8978" width="26.125" style="8" bestFit="1" customWidth="1"/>
    <col min="8979" max="8981" width="9" style="8"/>
    <col min="8982" max="8982" width="12.5" style="8" customWidth="1"/>
    <col min="8983" max="9221" width="9" style="8"/>
    <col min="9222" max="9222" width="12" style="8" bestFit="1" customWidth="1"/>
    <col min="9223" max="9223" width="34" style="8" bestFit="1" customWidth="1"/>
    <col min="9224" max="9224" width="9.625" style="8" customWidth="1"/>
    <col min="9225" max="9226" width="7" style="8" customWidth="1"/>
    <col min="9227" max="9227" width="13.625" style="8" customWidth="1"/>
    <col min="9228" max="9232" width="6.625" style="8" customWidth="1"/>
    <col min="9233" max="9233" width="12.75" style="8" bestFit="1" customWidth="1"/>
    <col min="9234" max="9234" width="26.125" style="8" bestFit="1" customWidth="1"/>
    <col min="9235" max="9237" width="9" style="8"/>
    <col min="9238" max="9238" width="12.5" style="8" customWidth="1"/>
    <col min="9239" max="9477" width="9" style="8"/>
    <col min="9478" max="9478" width="12" style="8" bestFit="1" customWidth="1"/>
    <col min="9479" max="9479" width="34" style="8" bestFit="1" customWidth="1"/>
    <col min="9480" max="9480" width="9.625" style="8" customWidth="1"/>
    <col min="9481" max="9482" width="7" style="8" customWidth="1"/>
    <col min="9483" max="9483" width="13.625" style="8" customWidth="1"/>
    <col min="9484" max="9488" width="6.625" style="8" customWidth="1"/>
    <col min="9489" max="9489" width="12.75" style="8" bestFit="1" customWidth="1"/>
    <col min="9490" max="9490" width="26.125" style="8" bestFit="1" customWidth="1"/>
    <col min="9491" max="9493" width="9" style="8"/>
    <col min="9494" max="9494" width="12.5" style="8" customWidth="1"/>
    <col min="9495" max="9733" width="9" style="8"/>
    <col min="9734" max="9734" width="12" style="8" bestFit="1" customWidth="1"/>
    <col min="9735" max="9735" width="34" style="8" bestFit="1" customWidth="1"/>
    <col min="9736" max="9736" width="9.625" style="8" customWidth="1"/>
    <col min="9737" max="9738" width="7" style="8" customWidth="1"/>
    <col min="9739" max="9739" width="13.625" style="8" customWidth="1"/>
    <col min="9740" max="9744" width="6.625" style="8" customWidth="1"/>
    <col min="9745" max="9745" width="12.75" style="8" bestFit="1" customWidth="1"/>
    <col min="9746" max="9746" width="26.125" style="8" bestFit="1" customWidth="1"/>
    <col min="9747" max="9749" width="9" style="8"/>
    <col min="9750" max="9750" width="12.5" style="8" customWidth="1"/>
    <col min="9751" max="9989" width="9" style="8"/>
    <col min="9990" max="9990" width="12" style="8" bestFit="1" customWidth="1"/>
    <col min="9991" max="9991" width="34" style="8" bestFit="1" customWidth="1"/>
    <col min="9992" max="9992" width="9.625" style="8" customWidth="1"/>
    <col min="9993" max="9994" width="7" style="8" customWidth="1"/>
    <col min="9995" max="9995" width="13.625" style="8" customWidth="1"/>
    <col min="9996" max="10000" width="6.625" style="8" customWidth="1"/>
    <col min="10001" max="10001" width="12.75" style="8" bestFit="1" customWidth="1"/>
    <col min="10002" max="10002" width="26.125" style="8" bestFit="1" customWidth="1"/>
    <col min="10003" max="10005" width="9" style="8"/>
    <col min="10006" max="10006" width="12.5" style="8" customWidth="1"/>
    <col min="10007" max="10245" width="9" style="8"/>
    <col min="10246" max="10246" width="12" style="8" bestFit="1" customWidth="1"/>
    <col min="10247" max="10247" width="34" style="8" bestFit="1" customWidth="1"/>
    <col min="10248" max="10248" width="9.625" style="8" customWidth="1"/>
    <col min="10249" max="10250" width="7" style="8" customWidth="1"/>
    <col min="10251" max="10251" width="13.625" style="8" customWidth="1"/>
    <col min="10252" max="10256" width="6.625" style="8" customWidth="1"/>
    <col min="10257" max="10257" width="12.75" style="8" bestFit="1" customWidth="1"/>
    <col min="10258" max="10258" width="26.125" style="8" bestFit="1" customWidth="1"/>
    <col min="10259" max="10261" width="9" style="8"/>
    <col min="10262" max="10262" width="12.5" style="8" customWidth="1"/>
    <col min="10263" max="10501" width="9" style="8"/>
    <col min="10502" max="10502" width="12" style="8" bestFit="1" customWidth="1"/>
    <col min="10503" max="10503" width="34" style="8" bestFit="1" customWidth="1"/>
    <col min="10504" max="10504" width="9.625" style="8" customWidth="1"/>
    <col min="10505" max="10506" width="7" style="8" customWidth="1"/>
    <col min="10507" max="10507" width="13.625" style="8" customWidth="1"/>
    <col min="10508" max="10512" width="6.625" style="8" customWidth="1"/>
    <col min="10513" max="10513" width="12.75" style="8" bestFit="1" customWidth="1"/>
    <col min="10514" max="10514" width="26.125" style="8" bestFit="1" customWidth="1"/>
    <col min="10515" max="10517" width="9" style="8"/>
    <col min="10518" max="10518" width="12.5" style="8" customWidth="1"/>
    <col min="10519" max="10757" width="9" style="8"/>
    <col min="10758" max="10758" width="12" style="8" bestFit="1" customWidth="1"/>
    <col min="10759" max="10759" width="34" style="8" bestFit="1" customWidth="1"/>
    <col min="10760" max="10760" width="9.625" style="8" customWidth="1"/>
    <col min="10761" max="10762" width="7" style="8" customWidth="1"/>
    <col min="10763" max="10763" width="13.625" style="8" customWidth="1"/>
    <col min="10764" max="10768" width="6.625" style="8" customWidth="1"/>
    <col min="10769" max="10769" width="12.75" style="8" bestFit="1" customWidth="1"/>
    <col min="10770" max="10770" width="26.125" style="8" bestFit="1" customWidth="1"/>
    <col min="10771" max="10773" width="9" style="8"/>
    <col min="10774" max="10774" width="12.5" style="8" customWidth="1"/>
    <col min="10775" max="11013" width="9" style="8"/>
    <col min="11014" max="11014" width="12" style="8" bestFit="1" customWidth="1"/>
    <col min="11015" max="11015" width="34" style="8" bestFit="1" customWidth="1"/>
    <col min="11016" max="11016" width="9.625" style="8" customWidth="1"/>
    <col min="11017" max="11018" width="7" style="8" customWidth="1"/>
    <col min="11019" max="11019" width="13.625" style="8" customWidth="1"/>
    <col min="11020" max="11024" width="6.625" style="8" customWidth="1"/>
    <col min="11025" max="11025" width="12.75" style="8" bestFit="1" customWidth="1"/>
    <col min="11026" max="11026" width="26.125" style="8" bestFit="1" customWidth="1"/>
    <col min="11027" max="11029" width="9" style="8"/>
    <col min="11030" max="11030" width="12.5" style="8" customWidth="1"/>
    <col min="11031" max="11269" width="9" style="8"/>
    <col min="11270" max="11270" width="12" style="8" bestFit="1" customWidth="1"/>
    <col min="11271" max="11271" width="34" style="8" bestFit="1" customWidth="1"/>
    <col min="11272" max="11272" width="9.625" style="8" customWidth="1"/>
    <col min="11273" max="11274" width="7" style="8" customWidth="1"/>
    <col min="11275" max="11275" width="13.625" style="8" customWidth="1"/>
    <col min="11276" max="11280" width="6.625" style="8" customWidth="1"/>
    <col min="11281" max="11281" width="12.75" style="8" bestFit="1" customWidth="1"/>
    <col min="11282" max="11282" width="26.125" style="8" bestFit="1" customWidth="1"/>
    <col min="11283" max="11285" width="9" style="8"/>
    <col min="11286" max="11286" width="12.5" style="8" customWidth="1"/>
    <col min="11287" max="11525" width="9" style="8"/>
    <col min="11526" max="11526" width="12" style="8" bestFit="1" customWidth="1"/>
    <col min="11527" max="11527" width="34" style="8" bestFit="1" customWidth="1"/>
    <col min="11528" max="11528" width="9.625" style="8" customWidth="1"/>
    <col min="11529" max="11530" width="7" style="8" customWidth="1"/>
    <col min="11531" max="11531" width="13.625" style="8" customWidth="1"/>
    <col min="11532" max="11536" width="6.625" style="8" customWidth="1"/>
    <col min="11537" max="11537" width="12.75" style="8" bestFit="1" customWidth="1"/>
    <col min="11538" max="11538" width="26.125" style="8" bestFit="1" customWidth="1"/>
    <col min="11539" max="11541" width="9" style="8"/>
    <col min="11542" max="11542" width="12.5" style="8" customWidth="1"/>
    <col min="11543" max="11781" width="9" style="8"/>
    <col min="11782" max="11782" width="12" style="8" bestFit="1" customWidth="1"/>
    <col min="11783" max="11783" width="34" style="8" bestFit="1" customWidth="1"/>
    <col min="11784" max="11784" width="9.625" style="8" customWidth="1"/>
    <col min="11785" max="11786" width="7" style="8" customWidth="1"/>
    <col min="11787" max="11787" width="13.625" style="8" customWidth="1"/>
    <col min="11788" max="11792" width="6.625" style="8" customWidth="1"/>
    <col min="11793" max="11793" width="12.75" style="8" bestFit="1" customWidth="1"/>
    <col min="11794" max="11794" width="26.125" style="8" bestFit="1" customWidth="1"/>
    <col min="11795" max="11797" width="9" style="8"/>
    <col min="11798" max="11798" width="12.5" style="8" customWidth="1"/>
    <col min="11799" max="12037" width="9" style="8"/>
    <col min="12038" max="12038" width="12" style="8" bestFit="1" customWidth="1"/>
    <col min="12039" max="12039" width="34" style="8" bestFit="1" customWidth="1"/>
    <col min="12040" max="12040" width="9.625" style="8" customWidth="1"/>
    <col min="12041" max="12042" width="7" style="8" customWidth="1"/>
    <col min="12043" max="12043" width="13.625" style="8" customWidth="1"/>
    <col min="12044" max="12048" width="6.625" style="8" customWidth="1"/>
    <col min="12049" max="12049" width="12.75" style="8" bestFit="1" customWidth="1"/>
    <col min="12050" max="12050" width="26.125" style="8" bestFit="1" customWidth="1"/>
    <col min="12051" max="12053" width="9" style="8"/>
    <col min="12054" max="12054" width="12.5" style="8" customWidth="1"/>
    <col min="12055" max="12293" width="9" style="8"/>
    <col min="12294" max="12294" width="12" style="8" bestFit="1" customWidth="1"/>
    <col min="12295" max="12295" width="34" style="8" bestFit="1" customWidth="1"/>
    <col min="12296" max="12296" width="9.625" style="8" customWidth="1"/>
    <col min="12297" max="12298" width="7" style="8" customWidth="1"/>
    <col min="12299" max="12299" width="13.625" style="8" customWidth="1"/>
    <col min="12300" max="12304" width="6.625" style="8" customWidth="1"/>
    <col min="12305" max="12305" width="12.75" style="8" bestFit="1" customWidth="1"/>
    <col min="12306" max="12306" width="26.125" style="8" bestFit="1" customWidth="1"/>
    <col min="12307" max="12309" width="9" style="8"/>
    <col min="12310" max="12310" width="12.5" style="8" customWidth="1"/>
    <col min="12311" max="12549" width="9" style="8"/>
    <col min="12550" max="12550" width="12" style="8" bestFit="1" customWidth="1"/>
    <col min="12551" max="12551" width="34" style="8" bestFit="1" customWidth="1"/>
    <col min="12552" max="12552" width="9.625" style="8" customWidth="1"/>
    <col min="12553" max="12554" width="7" style="8" customWidth="1"/>
    <col min="12555" max="12555" width="13.625" style="8" customWidth="1"/>
    <col min="12556" max="12560" width="6.625" style="8" customWidth="1"/>
    <col min="12561" max="12561" width="12.75" style="8" bestFit="1" customWidth="1"/>
    <col min="12562" max="12562" width="26.125" style="8" bestFit="1" customWidth="1"/>
    <col min="12563" max="12565" width="9" style="8"/>
    <col min="12566" max="12566" width="12.5" style="8" customWidth="1"/>
    <col min="12567" max="12805" width="9" style="8"/>
    <col min="12806" max="12806" width="12" style="8" bestFit="1" customWidth="1"/>
    <col min="12807" max="12807" width="34" style="8" bestFit="1" customWidth="1"/>
    <col min="12808" max="12808" width="9.625" style="8" customWidth="1"/>
    <col min="12809" max="12810" width="7" style="8" customWidth="1"/>
    <col min="12811" max="12811" width="13.625" style="8" customWidth="1"/>
    <col min="12812" max="12816" width="6.625" style="8" customWidth="1"/>
    <col min="12817" max="12817" width="12.75" style="8" bestFit="1" customWidth="1"/>
    <col min="12818" max="12818" width="26.125" style="8" bestFit="1" customWidth="1"/>
    <col min="12819" max="12821" width="9" style="8"/>
    <col min="12822" max="12822" width="12.5" style="8" customWidth="1"/>
    <col min="12823" max="13061" width="9" style="8"/>
    <col min="13062" max="13062" width="12" style="8" bestFit="1" customWidth="1"/>
    <col min="13063" max="13063" width="34" style="8" bestFit="1" customWidth="1"/>
    <col min="13064" max="13064" width="9.625" style="8" customWidth="1"/>
    <col min="13065" max="13066" width="7" style="8" customWidth="1"/>
    <col min="13067" max="13067" width="13.625" style="8" customWidth="1"/>
    <col min="13068" max="13072" width="6.625" style="8" customWidth="1"/>
    <col min="13073" max="13073" width="12.75" style="8" bestFit="1" customWidth="1"/>
    <col min="13074" max="13074" width="26.125" style="8" bestFit="1" customWidth="1"/>
    <col min="13075" max="13077" width="9" style="8"/>
    <col min="13078" max="13078" width="12.5" style="8" customWidth="1"/>
    <col min="13079" max="13317" width="9" style="8"/>
    <col min="13318" max="13318" width="12" style="8" bestFit="1" customWidth="1"/>
    <col min="13319" max="13319" width="34" style="8" bestFit="1" customWidth="1"/>
    <col min="13320" max="13320" width="9.625" style="8" customWidth="1"/>
    <col min="13321" max="13322" width="7" style="8" customWidth="1"/>
    <col min="13323" max="13323" width="13.625" style="8" customWidth="1"/>
    <col min="13324" max="13328" width="6.625" style="8" customWidth="1"/>
    <col min="13329" max="13329" width="12.75" style="8" bestFit="1" customWidth="1"/>
    <col min="13330" max="13330" width="26.125" style="8" bestFit="1" customWidth="1"/>
    <col min="13331" max="13333" width="9" style="8"/>
    <col min="13334" max="13334" width="12.5" style="8" customWidth="1"/>
    <col min="13335" max="13573" width="9" style="8"/>
    <col min="13574" max="13574" width="12" style="8" bestFit="1" customWidth="1"/>
    <col min="13575" max="13575" width="34" style="8" bestFit="1" customWidth="1"/>
    <col min="13576" max="13576" width="9.625" style="8" customWidth="1"/>
    <col min="13577" max="13578" width="7" style="8" customWidth="1"/>
    <col min="13579" max="13579" width="13.625" style="8" customWidth="1"/>
    <col min="13580" max="13584" width="6.625" style="8" customWidth="1"/>
    <col min="13585" max="13585" width="12.75" style="8" bestFit="1" customWidth="1"/>
    <col min="13586" max="13586" width="26.125" style="8" bestFit="1" customWidth="1"/>
    <col min="13587" max="13589" width="9" style="8"/>
    <col min="13590" max="13590" width="12.5" style="8" customWidth="1"/>
    <col min="13591" max="13829" width="9" style="8"/>
    <col min="13830" max="13830" width="12" style="8" bestFit="1" customWidth="1"/>
    <col min="13831" max="13831" width="34" style="8" bestFit="1" customWidth="1"/>
    <col min="13832" max="13832" width="9.625" style="8" customWidth="1"/>
    <col min="13833" max="13834" width="7" style="8" customWidth="1"/>
    <col min="13835" max="13835" width="13.625" style="8" customWidth="1"/>
    <col min="13836" max="13840" width="6.625" style="8" customWidth="1"/>
    <col min="13841" max="13841" width="12.75" style="8" bestFit="1" customWidth="1"/>
    <col min="13842" max="13842" width="26.125" style="8" bestFit="1" customWidth="1"/>
    <col min="13843" max="13845" width="9" style="8"/>
    <col min="13846" max="13846" width="12.5" style="8" customWidth="1"/>
    <col min="13847" max="14085" width="9" style="8"/>
    <col min="14086" max="14086" width="12" style="8" bestFit="1" customWidth="1"/>
    <col min="14087" max="14087" width="34" style="8" bestFit="1" customWidth="1"/>
    <col min="14088" max="14088" width="9.625" style="8" customWidth="1"/>
    <col min="14089" max="14090" width="7" style="8" customWidth="1"/>
    <col min="14091" max="14091" width="13.625" style="8" customWidth="1"/>
    <col min="14092" max="14096" width="6.625" style="8" customWidth="1"/>
    <col min="14097" max="14097" width="12.75" style="8" bestFit="1" customWidth="1"/>
    <col min="14098" max="14098" width="26.125" style="8" bestFit="1" customWidth="1"/>
    <col min="14099" max="14101" width="9" style="8"/>
    <col min="14102" max="14102" width="12.5" style="8" customWidth="1"/>
    <col min="14103" max="14341" width="9" style="8"/>
    <col min="14342" max="14342" width="12" style="8" bestFit="1" customWidth="1"/>
    <col min="14343" max="14343" width="34" style="8" bestFit="1" customWidth="1"/>
    <col min="14344" max="14344" width="9.625" style="8" customWidth="1"/>
    <col min="14345" max="14346" width="7" style="8" customWidth="1"/>
    <col min="14347" max="14347" width="13.625" style="8" customWidth="1"/>
    <col min="14348" max="14352" width="6.625" style="8" customWidth="1"/>
    <col min="14353" max="14353" width="12.75" style="8" bestFit="1" customWidth="1"/>
    <col min="14354" max="14354" width="26.125" style="8" bestFit="1" customWidth="1"/>
    <col min="14355" max="14357" width="9" style="8"/>
    <col min="14358" max="14358" width="12.5" style="8" customWidth="1"/>
    <col min="14359" max="14597" width="9" style="8"/>
    <col min="14598" max="14598" width="12" style="8" bestFit="1" customWidth="1"/>
    <col min="14599" max="14599" width="34" style="8" bestFit="1" customWidth="1"/>
    <col min="14600" max="14600" width="9.625" style="8" customWidth="1"/>
    <col min="14601" max="14602" width="7" style="8" customWidth="1"/>
    <col min="14603" max="14603" width="13.625" style="8" customWidth="1"/>
    <col min="14604" max="14608" width="6.625" style="8" customWidth="1"/>
    <col min="14609" max="14609" width="12.75" style="8" bestFit="1" customWidth="1"/>
    <col min="14610" max="14610" width="26.125" style="8" bestFit="1" customWidth="1"/>
    <col min="14611" max="14613" width="9" style="8"/>
    <col min="14614" max="14614" width="12.5" style="8" customWidth="1"/>
    <col min="14615" max="14853" width="9" style="8"/>
    <col min="14854" max="14854" width="12" style="8" bestFit="1" customWidth="1"/>
    <col min="14855" max="14855" width="34" style="8" bestFit="1" customWidth="1"/>
    <col min="14856" max="14856" width="9.625" style="8" customWidth="1"/>
    <col min="14857" max="14858" width="7" style="8" customWidth="1"/>
    <col min="14859" max="14859" width="13.625" style="8" customWidth="1"/>
    <col min="14860" max="14864" width="6.625" style="8" customWidth="1"/>
    <col min="14865" max="14865" width="12.75" style="8" bestFit="1" customWidth="1"/>
    <col min="14866" max="14866" width="26.125" style="8" bestFit="1" customWidth="1"/>
    <col min="14867" max="14869" width="9" style="8"/>
    <col min="14870" max="14870" width="12.5" style="8" customWidth="1"/>
    <col min="14871" max="15109" width="9" style="8"/>
    <col min="15110" max="15110" width="12" style="8" bestFit="1" customWidth="1"/>
    <col min="15111" max="15111" width="34" style="8" bestFit="1" customWidth="1"/>
    <col min="15112" max="15112" width="9.625" style="8" customWidth="1"/>
    <col min="15113" max="15114" width="7" style="8" customWidth="1"/>
    <col min="15115" max="15115" width="13.625" style="8" customWidth="1"/>
    <col min="15116" max="15120" width="6.625" style="8" customWidth="1"/>
    <col min="15121" max="15121" width="12.75" style="8" bestFit="1" customWidth="1"/>
    <col min="15122" max="15122" width="26.125" style="8" bestFit="1" customWidth="1"/>
    <col min="15123" max="15125" width="9" style="8"/>
    <col min="15126" max="15126" width="12.5" style="8" customWidth="1"/>
    <col min="15127" max="15365" width="9" style="8"/>
    <col min="15366" max="15366" width="12" style="8" bestFit="1" customWidth="1"/>
    <col min="15367" max="15367" width="34" style="8" bestFit="1" customWidth="1"/>
    <col min="15368" max="15368" width="9.625" style="8" customWidth="1"/>
    <col min="15369" max="15370" width="7" style="8" customWidth="1"/>
    <col min="15371" max="15371" width="13.625" style="8" customWidth="1"/>
    <col min="15372" max="15376" width="6.625" style="8" customWidth="1"/>
    <col min="15377" max="15377" width="12.75" style="8" bestFit="1" customWidth="1"/>
    <col min="15378" max="15378" width="26.125" style="8" bestFit="1" customWidth="1"/>
    <col min="15379" max="15381" width="9" style="8"/>
    <col min="15382" max="15382" width="12.5" style="8" customWidth="1"/>
    <col min="15383" max="15621" width="9" style="8"/>
    <col min="15622" max="15622" width="12" style="8" bestFit="1" customWidth="1"/>
    <col min="15623" max="15623" width="34" style="8" bestFit="1" customWidth="1"/>
    <col min="15624" max="15624" width="9.625" style="8" customWidth="1"/>
    <col min="15625" max="15626" width="7" style="8" customWidth="1"/>
    <col min="15627" max="15627" width="13.625" style="8" customWidth="1"/>
    <col min="15628" max="15632" width="6.625" style="8" customWidth="1"/>
    <col min="15633" max="15633" width="12.75" style="8" bestFit="1" customWidth="1"/>
    <col min="15634" max="15634" width="26.125" style="8" bestFit="1" customWidth="1"/>
    <col min="15635" max="15637" width="9" style="8"/>
    <col min="15638" max="15638" width="12.5" style="8" customWidth="1"/>
    <col min="15639" max="15877" width="9" style="8"/>
    <col min="15878" max="15878" width="12" style="8" bestFit="1" customWidth="1"/>
    <col min="15879" max="15879" width="34" style="8" bestFit="1" customWidth="1"/>
    <col min="15880" max="15880" width="9.625" style="8" customWidth="1"/>
    <col min="15881" max="15882" width="7" style="8" customWidth="1"/>
    <col min="15883" max="15883" width="13.625" style="8" customWidth="1"/>
    <col min="15884" max="15888" width="6.625" style="8" customWidth="1"/>
    <col min="15889" max="15889" width="12.75" style="8" bestFit="1" customWidth="1"/>
    <col min="15890" max="15890" width="26.125" style="8" bestFit="1" customWidth="1"/>
    <col min="15891" max="15893" width="9" style="8"/>
    <col min="15894" max="15894" width="12.5" style="8" customWidth="1"/>
    <col min="15895" max="16133" width="9" style="8"/>
    <col min="16134" max="16134" width="12" style="8" bestFit="1" customWidth="1"/>
    <col min="16135" max="16135" width="34" style="8" bestFit="1" customWidth="1"/>
    <col min="16136" max="16136" width="9.625" style="8" customWidth="1"/>
    <col min="16137" max="16138" width="7" style="8" customWidth="1"/>
    <col min="16139" max="16139" width="13.625" style="8" customWidth="1"/>
    <col min="16140" max="16144" width="6.625" style="8" customWidth="1"/>
    <col min="16145" max="16145" width="12.75" style="8" bestFit="1" customWidth="1"/>
    <col min="16146" max="16146" width="26.125" style="8" bestFit="1" customWidth="1"/>
    <col min="16147" max="16149" width="9" style="8"/>
    <col min="16150" max="16150" width="12.5" style="8" customWidth="1"/>
    <col min="16151" max="16384" width="9" style="8"/>
  </cols>
  <sheetData>
    <row r="1" spans="1:22" x14ac:dyDescent="0.15">
      <c r="A1" s="7" t="s">
        <v>11</v>
      </c>
      <c r="B1" s="7" t="s">
        <v>12</v>
      </c>
      <c r="C1" s="7" t="s">
        <v>27</v>
      </c>
      <c r="D1" s="7" t="s">
        <v>0</v>
      </c>
      <c r="E1" s="7" t="s">
        <v>29</v>
      </c>
      <c r="F1" s="7" t="s">
        <v>13</v>
      </c>
      <c r="G1" s="7" t="s">
        <v>14</v>
      </c>
      <c r="H1" s="7" t="s">
        <v>1</v>
      </c>
      <c r="I1" s="7" t="s">
        <v>24</v>
      </c>
      <c r="J1" s="7" t="s">
        <v>25</v>
      </c>
      <c r="K1" s="7" t="s">
        <v>26</v>
      </c>
      <c r="L1" s="7" t="s">
        <v>15</v>
      </c>
      <c r="M1" s="7" t="s">
        <v>16</v>
      </c>
      <c r="N1" s="7" t="s">
        <v>2</v>
      </c>
      <c r="O1" s="7" t="s">
        <v>17</v>
      </c>
      <c r="P1" s="4" t="s">
        <v>8</v>
      </c>
      <c r="Q1" s="8" t="s">
        <v>18</v>
      </c>
      <c r="R1" s="8" t="s">
        <v>3</v>
      </c>
      <c r="S1" s="8" t="s">
        <v>19</v>
      </c>
    </row>
    <row r="2" spans="1:22" ht="14.25" x14ac:dyDescent="0.15">
      <c r="A2" s="9" t="s">
        <v>20</v>
      </c>
      <c r="B2" s="6" t="s">
        <v>30</v>
      </c>
      <c r="C2" s="6" t="s">
        <v>31</v>
      </c>
      <c r="D2" s="11">
        <v>109.4</v>
      </c>
      <c r="F2" s="11">
        <v>1</v>
      </c>
      <c r="G2" s="18" t="str">
        <f>LEFT(C2,LEN(C2)-1)</f>
        <v>24</v>
      </c>
      <c r="H2" s="11" t="str">
        <f ca="1">TEXT(RAND()*("2022/11/20"-"2022/11/11")+"2022/11/11","e/m/d")</f>
        <v>2022/11/14</v>
      </c>
      <c r="I2" s="11">
        <f ca="1">YEAR(H2)</f>
        <v>2022</v>
      </c>
      <c r="J2" s="11">
        <f ca="1">MONTH(H2)</f>
        <v>11</v>
      </c>
      <c r="K2" s="11">
        <f ca="1">DAY(H2)</f>
        <v>14</v>
      </c>
      <c r="L2" s="11">
        <f ca="1">ROUND(RAND()*(18-7)+7,0)</f>
        <v>14</v>
      </c>
      <c r="M2" s="11">
        <f ca="1">INT(RAND()*55)+1</f>
        <v>51</v>
      </c>
      <c r="N2" s="11">
        <v>1550</v>
      </c>
      <c r="O2" s="11">
        <v>0.19</v>
      </c>
      <c r="P2" t="s">
        <v>10</v>
      </c>
      <c r="Q2" s="12" t="s">
        <v>21</v>
      </c>
      <c r="R2" s="13" t="s">
        <v>22</v>
      </c>
      <c r="S2" s="14"/>
      <c r="V2" s="10"/>
    </row>
    <row r="3" spans="1:22" ht="14.25" x14ac:dyDescent="0.15">
      <c r="A3" s="9" t="s">
        <v>20</v>
      </c>
      <c r="B3" s="6" t="s">
        <v>32</v>
      </c>
      <c r="C3" s="6" t="s">
        <v>31</v>
      </c>
      <c r="D3" s="11">
        <v>1171.4000000000001</v>
      </c>
      <c r="F3" s="11">
        <v>1</v>
      </c>
      <c r="G3" s="18" t="str">
        <f t="shared" ref="G3:G49" si="0">LEFT(C3,LEN(C3)-1)</f>
        <v>24</v>
      </c>
      <c r="H3" s="11" t="str">
        <f t="shared" ref="H3:H49" ca="1" si="1">TEXT(RAND()*("2022/11/20"-"2022/11/11")+"2022/11/11","e/m/d")</f>
        <v>2022/11/15</v>
      </c>
      <c r="I3" s="11">
        <f t="shared" ref="I3:I49" ca="1" si="2">YEAR(H3)</f>
        <v>2022</v>
      </c>
      <c r="J3" s="11">
        <f t="shared" ref="J3:J49" ca="1" si="3">MONTH(H3)</f>
        <v>11</v>
      </c>
      <c r="K3" s="11">
        <f t="shared" ref="K3:K49" ca="1" si="4">DAY(H3)</f>
        <v>15</v>
      </c>
      <c r="L3" s="11">
        <f t="shared" ref="L3:L49" ca="1" si="5">ROUND(RAND()*(18-7)+7,0)</f>
        <v>8</v>
      </c>
      <c r="M3" s="11">
        <f t="shared" ref="M3:M49" ca="1" si="6">INT(RAND()*55)+1</f>
        <v>36</v>
      </c>
      <c r="N3" s="11">
        <v>1550</v>
      </c>
      <c r="O3" s="11">
        <v>0.19</v>
      </c>
      <c r="P3" t="s">
        <v>10</v>
      </c>
      <c r="Q3" s="12" t="s">
        <v>21</v>
      </c>
      <c r="R3" s="13" t="s">
        <v>22</v>
      </c>
      <c r="S3" s="14"/>
      <c r="V3" s="10"/>
    </row>
    <row r="4" spans="1:22" ht="14.25" x14ac:dyDescent="0.15">
      <c r="A4" s="9" t="s">
        <v>23</v>
      </c>
      <c r="B4" s="6" t="s">
        <v>33</v>
      </c>
      <c r="C4" s="6" t="s">
        <v>31</v>
      </c>
      <c r="D4" s="11">
        <v>1354.1</v>
      </c>
      <c r="F4" s="11">
        <v>1</v>
      </c>
      <c r="G4" s="18" t="str">
        <f t="shared" si="0"/>
        <v>24</v>
      </c>
      <c r="H4" s="11" t="str">
        <f t="shared" ca="1" si="1"/>
        <v>2022/11/13</v>
      </c>
      <c r="I4" s="11">
        <f t="shared" ca="1" si="2"/>
        <v>2022</v>
      </c>
      <c r="J4" s="11">
        <f t="shared" ca="1" si="3"/>
        <v>11</v>
      </c>
      <c r="K4" s="11">
        <f t="shared" ca="1" si="4"/>
        <v>13</v>
      </c>
      <c r="L4" s="11">
        <f t="shared" ca="1" si="5"/>
        <v>12</v>
      </c>
      <c r="M4" s="11">
        <f t="shared" ca="1" si="6"/>
        <v>30</v>
      </c>
      <c r="N4" s="11">
        <v>1550</v>
      </c>
      <c r="O4" s="11">
        <v>0.19</v>
      </c>
      <c r="P4" t="s">
        <v>10</v>
      </c>
      <c r="Q4" s="12" t="s">
        <v>21</v>
      </c>
      <c r="R4" s="13" t="s">
        <v>22</v>
      </c>
      <c r="S4" s="14"/>
      <c r="V4" s="10"/>
    </row>
    <row r="5" spans="1:22" ht="14.25" x14ac:dyDescent="0.15">
      <c r="A5" s="9" t="s">
        <v>23</v>
      </c>
      <c r="B5" s="6" t="s">
        <v>34</v>
      </c>
      <c r="C5" s="6" t="s">
        <v>31</v>
      </c>
      <c r="D5" s="11">
        <v>1607.5</v>
      </c>
      <c r="F5" s="11">
        <v>1</v>
      </c>
      <c r="G5" s="18" t="str">
        <f t="shared" si="0"/>
        <v>24</v>
      </c>
      <c r="H5" s="11" t="str">
        <f t="shared" ca="1" si="1"/>
        <v>2022/11/17</v>
      </c>
      <c r="I5" s="11">
        <f t="shared" ca="1" si="2"/>
        <v>2022</v>
      </c>
      <c r="J5" s="11">
        <f t="shared" ca="1" si="3"/>
        <v>11</v>
      </c>
      <c r="K5" s="11">
        <f t="shared" ca="1" si="4"/>
        <v>17</v>
      </c>
      <c r="L5" s="11">
        <f t="shared" ca="1" si="5"/>
        <v>15</v>
      </c>
      <c r="M5" s="11">
        <f t="shared" ca="1" si="6"/>
        <v>20</v>
      </c>
      <c r="N5" s="11">
        <v>1550</v>
      </c>
      <c r="O5" s="11">
        <v>0.19</v>
      </c>
      <c r="P5" t="s">
        <v>10</v>
      </c>
      <c r="Q5" s="12" t="s">
        <v>21</v>
      </c>
      <c r="R5" s="13" t="s">
        <v>22</v>
      </c>
      <c r="S5" s="14"/>
      <c r="V5" s="10"/>
    </row>
    <row r="6" spans="1:22" ht="14.25" x14ac:dyDescent="0.15">
      <c r="A6" s="9" t="s">
        <v>23</v>
      </c>
      <c r="B6" s="6" t="s">
        <v>35</v>
      </c>
      <c r="C6" s="6" t="s">
        <v>31</v>
      </c>
      <c r="D6" s="11">
        <v>1133.2</v>
      </c>
      <c r="F6" s="11">
        <v>1</v>
      </c>
      <c r="G6" s="18" t="str">
        <f t="shared" si="0"/>
        <v>24</v>
      </c>
      <c r="H6" s="11" t="str">
        <f t="shared" ca="1" si="1"/>
        <v>2022/11/19</v>
      </c>
      <c r="I6" s="11">
        <f t="shared" ca="1" si="2"/>
        <v>2022</v>
      </c>
      <c r="J6" s="11">
        <f t="shared" ca="1" si="3"/>
        <v>11</v>
      </c>
      <c r="K6" s="11">
        <f t="shared" ca="1" si="4"/>
        <v>19</v>
      </c>
      <c r="L6" s="11">
        <f t="shared" ca="1" si="5"/>
        <v>9</v>
      </c>
      <c r="M6" s="11">
        <f t="shared" ca="1" si="6"/>
        <v>44</v>
      </c>
      <c r="N6" s="11">
        <v>1550</v>
      </c>
      <c r="O6" s="11">
        <v>0.19</v>
      </c>
      <c r="P6" t="s">
        <v>10</v>
      </c>
      <c r="Q6" s="12" t="s">
        <v>21</v>
      </c>
      <c r="R6" s="13" t="s">
        <v>22</v>
      </c>
      <c r="S6" s="14"/>
      <c r="V6" s="10"/>
    </row>
    <row r="7" spans="1:22" ht="14.25" x14ac:dyDescent="0.15">
      <c r="A7" s="9"/>
      <c r="B7" s="6" t="s">
        <v>36</v>
      </c>
      <c r="C7" s="6" t="s">
        <v>31</v>
      </c>
      <c r="D7" s="11">
        <v>1017.9</v>
      </c>
      <c r="E7" s="11">
        <v>1</v>
      </c>
      <c r="F7" s="11">
        <v>1</v>
      </c>
      <c r="G7" s="18" t="str">
        <f t="shared" si="0"/>
        <v>24</v>
      </c>
      <c r="H7" s="11" t="str">
        <f t="shared" ca="1" si="1"/>
        <v>2022/11/15</v>
      </c>
      <c r="I7" s="11">
        <f t="shared" ca="1" si="2"/>
        <v>2022</v>
      </c>
      <c r="J7" s="11">
        <f t="shared" ca="1" si="3"/>
        <v>11</v>
      </c>
      <c r="K7" s="11">
        <f t="shared" ca="1" si="4"/>
        <v>15</v>
      </c>
      <c r="L7" s="11">
        <f t="shared" ca="1" si="5"/>
        <v>13</v>
      </c>
      <c r="M7" s="11">
        <f t="shared" ca="1" si="6"/>
        <v>11</v>
      </c>
      <c r="N7" s="11">
        <v>1550</v>
      </c>
      <c r="O7" s="11">
        <v>0.19</v>
      </c>
      <c r="P7" t="s">
        <v>10</v>
      </c>
      <c r="Q7" s="12" t="s">
        <v>21</v>
      </c>
      <c r="R7" s="13" t="s">
        <v>22</v>
      </c>
      <c r="S7" s="14"/>
      <c r="V7" s="10"/>
    </row>
    <row r="8" spans="1:22" ht="14.25" x14ac:dyDescent="0.15">
      <c r="A8" s="9"/>
      <c r="B8" s="6" t="s">
        <v>37</v>
      </c>
      <c r="C8" s="6" t="s">
        <v>28</v>
      </c>
      <c r="D8" s="11">
        <v>1760.3999999999999</v>
      </c>
      <c r="E8" s="11">
        <v>2</v>
      </c>
      <c r="F8" s="11">
        <v>1</v>
      </c>
      <c r="G8" s="18" t="str">
        <f t="shared" si="0"/>
        <v>48</v>
      </c>
      <c r="H8" s="11" t="str">
        <f t="shared" ca="1" si="1"/>
        <v>2022/11/12</v>
      </c>
      <c r="I8" s="11">
        <f t="shared" ca="1" si="2"/>
        <v>2022</v>
      </c>
      <c r="J8" s="11">
        <f t="shared" ca="1" si="3"/>
        <v>11</v>
      </c>
      <c r="K8" s="11">
        <f t="shared" ca="1" si="4"/>
        <v>12</v>
      </c>
      <c r="L8" s="11">
        <f t="shared" ca="1" si="5"/>
        <v>16</v>
      </c>
      <c r="M8" s="11">
        <f t="shared" ca="1" si="6"/>
        <v>19</v>
      </c>
      <c r="N8" s="11">
        <v>1550</v>
      </c>
      <c r="O8" s="11">
        <v>0.19</v>
      </c>
      <c r="P8" t="s">
        <v>10</v>
      </c>
      <c r="Q8" s="12" t="s">
        <v>21</v>
      </c>
      <c r="R8" s="13" t="s">
        <v>22</v>
      </c>
      <c r="S8" s="14"/>
      <c r="V8" s="10"/>
    </row>
    <row r="9" spans="1:22" ht="14.25" x14ac:dyDescent="0.15">
      <c r="A9" s="9"/>
      <c r="B9" s="6" t="s">
        <v>38</v>
      </c>
      <c r="C9" s="6" t="s">
        <v>31</v>
      </c>
      <c r="D9" s="11">
        <v>1460.5</v>
      </c>
      <c r="F9" s="11">
        <v>1</v>
      </c>
      <c r="G9" s="18" t="str">
        <f t="shared" si="0"/>
        <v>24</v>
      </c>
      <c r="H9" s="11" t="str">
        <f t="shared" ca="1" si="1"/>
        <v>2022/11/17</v>
      </c>
      <c r="I9" s="11">
        <f t="shared" ca="1" si="2"/>
        <v>2022</v>
      </c>
      <c r="J9" s="11">
        <f t="shared" ca="1" si="3"/>
        <v>11</v>
      </c>
      <c r="K9" s="11">
        <f t="shared" ca="1" si="4"/>
        <v>17</v>
      </c>
      <c r="L9" s="11">
        <f t="shared" ca="1" si="5"/>
        <v>8</v>
      </c>
      <c r="M9" s="11">
        <f t="shared" ca="1" si="6"/>
        <v>30</v>
      </c>
      <c r="N9" s="11">
        <v>1550</v>
      </c>
      <c r="O9" s="11">
        <v>0.19</v>
      </c>
      <c r="P9" t="s">
        <v>10</v>
      </c>
      <c r="Q9" s="12" t="s">
        <v>21</v>
      </c>
      <c r="R9" s="13" t="s">
        <v>22</v>
      </c>
      <c r="S9" s="14"/>
      <c r="V9" s="10"/>
    </row>
    <row r="10" spans="1:22" ht="14.25" x14ac:dyDescent="0.15">
      <c r="A10" s="9"/>
      <c r="B10" s="6" t="s">
        <v>39</v>
      </c>
      <c r="C10" s="6" t="s">
        <v>31</v>
      </c>
      <c r="D10" s="11">
        <v>2304.1999999999998</v>
      </c>
      <c r="E10" s="11">
        <v>3</v>
      </c>
      <c r="F10" s="11">
        <v>1</v>
      </c>
      <c r="G10" s="18" t="str">
        <f t="shared" si="0"/>
        <v>24</v>
      </c>
      <c r="H10" s="11" t="str">
        <f t="shared" ca="1" si="1"/>
        <v>2022/11/14</v>
      </c>
      <c r="I10" s="11">
        <f t="shared" ca="1" si="2"/>
        <v>2022</v>
      </c>
      <c r="J10" s="11">
        <f t="shared" ca="1" si="3"/>
        <v>11</v>
      </c>
      <c r="K10" s="11">
        <f t="shared" ca="1" si="4"/>
        <v>14</v>
      </c>
      <c r="L10" s="11">
        <f t="shared" ca="1" si="5"/>
        <v>16</v>
      </c>
      <c r="M10" s="11">
        <f t="shared" ca="1" si="6"/>
        <v>28</v>
      </c>
      <c r="N10" s="11">
        <v>1550</v>
      </c>
      <c r="O10" s="11">
        <v>0.19</v>
      </c>
      <c r="P10" t="s">
        <v>10</v>
      </c>
      <c r="Q10" s="12" t="s">
        <v>21</v>
      </c>
      <c r="R10" s="13" t="s">
        <v>22</v>
      </c>
      <c r="S10" s="14"/>
      <c r="V10" s="10"/>
    </row>
    <row r="11" spans="1:22" ht="14.25" x14ac:dyDescent="0.15">
      <c r="A11" s="9"/>
      <c r="B11" s="6" t="s">
        <v>40</v>
      </c>
      <c r="C11" s="6" t="s">
        <v>31</v>
      </c>
      <c r="D11" s="11">
        <v>556.20000000000005</v>
      </c>
      <c r="F11" s="11">
        <v>1</v>
      </c>
      <c r="G11" s="18" t="str">
        <f t="shared" si="0"/>
        <v>24</v>
      </c>
      <c r="H11" s="11" t="str">
        <f t="shared" ca="1" si="1"/>
        <v>2022/11/19</v>
      </c>
      <c r="I11" s="11">
        <f t="shared" ca="1" si="2"/>
        <v>2022</v>
      </c>
      <c r="J11" s="11">
        <f t="shared" ca="1" si="3"/>
        <v>11</v>
      </c>
      <c r="K11" s="11">
        <f t="shared" ca="1" si="4"/>
        <v>19</v>
      </c>
      <c r="L11" s="11">
        <f t="shared" ca="1" si="5"/>
        <v>14</v>
      </c>
      <c r="M11" s="11">
        <f t="shared" ca="1" si="6"/>
        <v>28</v>
      </c>
      <c r="N11" s="11">
        <v>1550</v>
      </c>
      <c r="O11" s="11">
        <v>0.19</v>
      </c>
      <c r="P11" t="s">
        <v>10</v>
      </c>
      <c r="Q11" s="12" t="s">
        <v>21</v>
      </c>
      <c r="R11" s="13" t="s">
        <v>22</v>
      </c>
      <c r="S11" s="14"/>
      <c r="V11" s="10"/>
    </row>
    <row r="12" spans="1:22" ht="14.25" x14ac:dyDescent="0.15">
      <c r="A12" s="9"/>
      <c r="B12" s="6" t="s">
        <v>41</v>
      </c>
      <c r="C12" s="6" t="s">
        <v>31</v>
      </c>
      <c r="D12" s="11">
        <v>214</v>
      </c>
      <c r="F12" s="11">
        <v>1</v>
      </c>
      <c r="G12" s="18" t="str">
        <f t="shared" si="0"/>
        <v>24</v>
      </c>
      <c r="H12" s="11" t="str">
        <f t="shared" ca="1" si="1"/>
        <v>2022/11/16</v>
      </c>
      <c r="I12" s="11">
        <f t="shared" ca="1" si="2"/>
        <v>2022</v>
      </c>
      <c r="J12" s="11">
        <f t="shared" ca="1" si="3"/>
        <v>11</v>
      </c>
      <c r="K12" s="11">
        <f t="shared" ca="1" si="4"/>
        <v>16</v>
      </c>
      <c r="L12" s="11">
        <f t="shared" ca="1" si="5"/>
        <v>13</v>
      </c>
      <c r="M12" s="11">
        <f t="shared" ca="1" si="6"/>
        <v>10</v>
      </c>
      <c r="N12" s="11">
        <v>1550</v>
      </c>
      <c r="O12" s="11">
        <v>0.19</v>
      </c>
      <c r="P12" t="s">
        <v>10</v>
      </c>
      <c r="Q12" s="12" t="s">
        <v>21</v>
      </c>
      <c r="R12" s="13" t="s">
        <v>22</v>
      </c>
      <c r="S12" s="14"/>
      <c r="V12" s="10"/>
    </row>
    <row r="13" spans="1:22" ht="14.25" x14ac:dyDescent="0.15">
      <c r="A13" s="9"/>
      <c r="B13" s="6" t="s">
        <v>42</v>
      </c>
      <c r="C13" s="6" t="s">
        <v>31</v>
      </c>
      <c r="D13" s="11">
        <v>38.5</v>
      </c>
      <c r="F13" s="11">
        <v>1</v>
      </c>
      <c r="G13" s="18" t="str">
        <f t="shared" si="0"/>
        <v>24</v>
      </c>
      <c r="H13" s="11" t="str">
        <f t="shared" ca="1" si="1"/>
        <v>2022/11/18</v>
      </c>
      <c r="I13" s="11">
        <f t="shared" ca="1" si="2"/>
        <v>2022</v>
      </c>
      <c r="J13" s="11">
        <f t="shared" ca="1" si="3"/>
        <v>11</v>
      </c>
      <c r="K13" s="11">
        <f t="shared" ca="1" si="4"/>
        <v>18</v>
      </c>
      <c r="L13" s="11">
        <f t="shared" ca="1" si="5"/>
        <v>10</v>
      </c>
      <c r="M13" s="11">
        <f t="shared" ca="1" si="6"/>
        <v>19</v>
      </c>
      <c r="N13" s="11">
        <v>1550</v>
      </c>
      <c r="O13" s="11">
        <v>0.19</v>
      </c>
      <c r="P13" t="s">
        <v>10</v>
      </c>
      <c r="Q13" s="12" t="s">
        <v>21</v>
      </c>
      <c r="R13" s="13" t="s">
        <v>22</v>
      </c>
      <c r="S13" s="14"/>
      <c r="V13" s="10"/>
    </row>
    <row r="14" spans="1:22" ht="14.25" x14ac:dyDescent="0.15">
      <c r="A14" s="9"/>
      <c r="B14" s="6" t="s">
        <v>43</v>
      </c>
      <c r="C14" s="6" t="s">
        <v>31</v>
      </c>
      <c r="D14" s="11">
        <v>405.2</v>
      </c>
      <c r="F14" s="11">
        <v>1</v>
      </c>
      <c r="G14" s="18" t="str">
        <f t="shared" si="0"/>
        <v>24</v>
      </c>
      <c r="H14" s="11" t="str">
        <f t="shared" ca="1" si="1"/>
        <v>2022/11/15</v>
      </c>
      <c r="I14" s="11">
        <f t="shared" ca="1" si="2"/>
        <v>2022</v>
      </c>
      <c r="J14" s="11">
        <f t="shared" ca="1" si="3"/>
        <v>11</v>
      </c>
      <c r="K14" s="11">
        <f t="shared" ca="1" si="4"/>
        <v>15</v>
      </c>
      <c r="L14" s="11">
        <f t="shared" ca="1" si="5"/>
        <v>14</v>
      </c>
      <c r="M14" s="11">
        <f t="shared" ca="1" si="6"/>
        <v>54</v>
      </c>
      <c r="N14" s="11">
        <v>1550</v>
      </c>
      <c r="O14" s="11">
        <v>0.19</v>
      </c>
      <c r="P14" t="s">
        <v>10</v>
      </c>
      <c r="Q14" s="12" t="s">
        <v>21</v>
      </c>
      <c r="R14" s="13" t="s">
        <v>22</v>
      </c>
      <c r="S14" s="14"/>
      <c r="V14" s="10"/>
    </row>
    <row r="15" spans="1:22" ht="14.25" x14ac:dyDescent="0.15">
      <c r="A15" s="9"/>
      <c r="B15" s="19" t="s">
        <v>76</v>
      </c>
      <c r="C15" s="6" t="s">
        <v>31</v>
      </c>
      <c r="D15" s="11">
        <v>240.1</v>
      </c>
      <c r="F15" s="11">
        <v>1</v>
      </c>
      <c r="G15" s="18" t="str">
        <f t="shared" si="0"/>
        <v>24</v>
      </c>
      <c r="H15" s="11" t="str">
        <f t="shared" ca="1" si="1"/>
        <v>2022/11/12</v>
      </c>
      <c r="I15" s="11">
        <f t="shared" ca="1" si="2"/>
        <v>2022</v>
      </c>
      <c r="J15" s="11">
        <f t="shared" ca="1" si="3"/>
        <v>11</v>
      </c>
      <c r="K15" s="11">
        <f t="shared" ca="1" si="4"/>
        <v>12</v>
      </c>
      <c r="L15" s="11">
        <f t="shared" ca="1" si="5"/>
        <v>12</v>
      </c>
      <c r="M15" s="11">
        <f t="shared" ca="1" si="6"/>
        <v>45</v>
      </c>
      <c r="N15" s="11">
        <v>1550</v>
      </c>
      <c r="O15" s="11">
        <v>0.19</v>
      </c>
      <c r="P15" t="s">
        <v>10</v>
      </c>
      <c r="Q15" s="12" t="s">
        <v>21</v>
      </c>
      <c r="R15" s="13" t="s">
        <v>22</v>
      </c>
      <c r="S15" s="14"/>
      <c r="V15" s="10"/>
    </row>
    <row r="16" spans="1:22" ht="14.25" x14ac:dyDescent="0.15">
      <c r="A16" s="9"/>
      <c r="B16" s="19" t="s">
        <v>77</v>
      </c>
      <c r="C16" s="6" t="s">
        <v>31</v>
      </c>
      <c r="D16" s="11">
        <v>241</v>
      </c>
      <c r="F16" s="11">
        <v>1</v>
      </c>
      <c r="G16" s="18" t="str">
        <f t="shared" si="0"/>
        <v>24</v>
      </c>
      <c r="H16" s="11" t="str">
        <f t="shared" ca="1" si="1"/>
        <v>2022/11/15</v>
      </c>
      <c r="I16" s="11">
        <f t="shared" ca="1" si="2"/>
        <v>2022</v>
      </c>
      <c r="J16" s="11">
        <f t="shared" ca="1" si="3"/>
        <v>11</v>
      </c>
      <c r="K16" s="11">
        <f t="shared" ca="1" si="4"/>
        <v>15</v>
      </c>
      <c r="L16" s="11">
        <f t="shared" ca="1" si="5"/>
        <v>12</v>
      </c>
      <c r="M16" s="11">
        <f t="shared" ca="1" si="6"/>
        <v>35</v>
      </c>
      <c r="N16" s="11">
        <v>1550</v>
      </c>
      <c r="O16" s="11">
        <v>0.19</v>
      </c>
      <c r="P16" t="s">
        <v>10</v>
      </c>
      <c r="Q16" s="12" t="s">
        <v>21</v>
      </c>
      <c r="R16" s="13" t="s">
        <v>22</v>
      </c>
      <c r="S16" s="14"/>
      <c r="V16" s="10"/>
    </row>
    <row r="17" spans="1:22" ht="14.25" x14ac:dyDescent="0.15">
      <c r="A17" s="9"/>
      <c r="B17" s="19" t="s">
        <v>78</v>
      </c>
      <c r="C17" s="6" t="s">
        <v>31</v>
      </c>
      <c r="D17" s="11">
        <v>288</v>
      </c>
      <c r="F17" s="11">
        <v>1</v>
      </c>
      <c r="G17" s="18" t="str">
        <f t="shared" si="0"/>
        <v>24</v>
      </c>
      <c r="H17" s="11" t="str">
        <f t="shared" ca="1" si="1"/>
        <v>2022/11/18</v>
      </c>
      <c r="I17" s="11">
        <f t="shared" ca="1" si="2"/>
        <v>2022</v>
      </c>
      <c r="J17" s="11">
        <f t="shared" ca="1" si="3"/>
        <v>11</v>
      </c>
      <c r="K17" s="11">
        <f t="shared" ca="1" si="4"/>
        <v>18</v>
      </c>
      <c r="L17" s="11">
        <f t="shared" ca="1" si="5"/>
        <v>13</v>
      </c>
      <c r="M17" s="11">
        <f t="shared" ca="1" si="6"/>
        <v>2</v>
      </c>
      <c r="N17" s="11">
        <v>1550</v>
      </c>
      <c r="O17" s="11">
        <v>0.19</v>
      </c>
      <c r="P17" t="s">
        <v>10</v>
      </c>
      <c r="Q17" s="12" t="s">
        <v>21</v>
      </c>
      <c r="R17" s="13" t="s">
        <v>22</v>
      </c>
      <c r="S17" s="14"/>
      <c r="V17" s="10"/>
    </row>
    <row r="18" spans="1:22" ht="14.25" x14ac:dyDescent="0.15">
      <c r="A18" s="9"/>
      <c r="B18" s="6" t="s">
        <v>44</v>
      </c>
      <c r="C18" s="6" t="s">
        <v>31</v>
      </c>
      <c r="D18" s="11">
        <v>132.30000000000001</v>
      </c>
      <c r="F18" s="11">
        <v>1</v>
      </c>
      <c r="G18" s="18" t="str">
        <f t="shared" si="0"/>
        <v>24</v>
      </c>
      <c r="H18" s="11" t="str">
        <f t="shared" ca="1" si="1"/>
        <v>2022/11/13</v>
      </c>
      <c r="I18" s="11">
        <f t="shared" ca="1" si="2"/>
        <v>2022</v>
      </c>
      <c r="J18" s="11">
        <f t="shared" ca="1" si="3"/>
        <v>11</v>
      </c>
      <c r="K18" s="11">
        <f t="shared" ca="1" si="4"/>
        <v>13</v>
      </c>
      <c r="L18" s="11">
        <f t="shared" ca="1" si="5"/>
        <v>11</v>
      </c>
      <c r="M18" s="11">
        <f t="shared" ca="1" si="6"/>
        <v>29</v>
      </c>
      <c r="N18" s="11">
        <v>1550</v>
      </c>
      <c r="O18" s="11">
        <v>0.19</v>
      </c>
      <c r="P18" t="s">
        <v>10</v>
      </c>
      <c r="Q18" s="12" t="s">
        <v>21</v>
      </c>
      <c r="R18" s="13" t="s">
        <v>22</v>
      </c>
      <c r="S18" s="14"/>
      <c r="V18" s="10"/>
    </row>
    <row r="19" spans="1:22" ht="14.25" x14ac:dyDescent="0.15">
      <c r="A19" s="9"/>
      <c r="B19" s="6" t="s">
        <v>45</v>
      </c>
      <c r="C19" s="6" t="s">
        <v>31</v>
      </c>
      <c r="D19" s="11">
        <v>1126.9000000000001</v>
      </c>
      <c r="F19" s="11">
        <v>1</v>
      </c>
      <c r="G19" s="18" t="str">
        <f t="shared" si="0"/>
        <v>24</v>
      </c>
      <c r="H19" s="11" t="str">
        <f t="shared" ca="1" si="1"/>
        <v>2022/11/11</v>
      </c>
      <c r="I19" s="11">
        <f t="shared" ca="1" si="2"/>
        <v>2022</v>
      </c>
      <c r="J19" s="11">
        <f t="shared" ca="1" si="3"/>
        <v>11</v>
      </c>
      <c r="K19" s="11">
        <f t="shared" ca="1" si="4"/>
        <v>11</v>
      </c>
      <c r="L19" s="11">
        <f t="shared" ca="1" si="5"/>
        <v>13</v>
      </c>
      <c r="M19" s="11">
        <f t="shared" ca="1" si="6"/>
        <v>14</v>
      </c>
      <c r="N19" s="11">
        <v>1550</v>
      </c>
      <c r="O19" s="11">
        <v>0.19</v>
      </c>
      <c r="P19" t="s">
        <v>10</v>
      </c>
      <c r="Q19" s="12" t="s">
        <v>21</v>
      </c>
      <c r="R19" s="13" t="s">
        <v>22</v>
      </c>
      <c r="S19" s="14"/>
      <c r="V19" s="10"/>
    </row>
    <row r="20" spans="1:22" ht="14.25" x14ac:dyDescent="0.15">
      <c r="A20" s="9"/>
      <c r="B20" s="6" t="s">
        <v>46</v>
      </c>
      <c r="C20" s="6" t="s">
        <v>31</v>
      </c>
      <c r="D20" s="11">
        <v>1107.2</v>
      </c>
      <c r="E20" s="11">
        <v>1</v>
      </c>
      <c r="F20" s="11">
        <v>1</v>
      </c>
      <c r="G20" s="18" t="str">
        <f t="shared" si="0"/>
        <v>24</v>
      </c>
      <c r="H20" s="11" t="str">
        <f t="shared" ca="1" si="1"/>
        <v>2022/11/19</v>
      </c>
      <c r="I20" s="11">
        <f t="shared" ca="1" si="2"/>
        <v>2022</v>
      </c>
      <c r="J20" s="11">
        <f t="shared" ca="1" si="3"/>
        <v>11</v>
      </c>
      <c r="K20" s="11">
        <f t="shared" ca="1" si="4"/>
        <v>19</v>
      </c>
      <c r="L20" s="11">
        <f t="shared" ca="1" si="5"/>
        <v>15</v>
      </c>
      <c r="M20" s="11">
        <f t="shared" ca="1" si="6"/>
        <v>32</v>
      </c>
      <c r="N20" s="11">
        <v>1550</v>
      </c>
      <c r="O20" s="11">
        <v>0.19</v>
      </c>
      <c r="P20" t="s">
        <v>10</v>
      </c>
      <c r="Q20" s="12" t="s">
        <v>21</v>
      </c>
      <c r="R20" s="13" t="s">
        <v>22</v>
      </c>
      <c r="S20" s="14"/>
      <c r="V20" s="10"/>
    </row>
    <row r="21" spans="1:22" ht="14.25" x14ac:dyDescent="0.15">
      <c r="A21" s="9"/>
      <c r="B21" s="6" t="s">
        <v>47</v>
      </c>
      <c r="C21" s="6" t="s">
        <v>31</v>
      </c>
      <c r="D21" s="11">
        <v>2366.6</v>
      </c>
      <c r="E21" s="11">
        <v>2</v>
      </c>
      <c r="F21" s="11">
        <v>1</v>
      </c>
      <c r="G21" s="18" t="str">
        <f t="shared" si="0"/>
        <v>24</v>
      </c>
      <c r="H21" s="11" t="str">
        <f t="shared" ca="1" si="1"/>
        <v>2022/11/11</v>
      </c>
      <c r="I21" s="11">
        <f t="shared" ca="1" si="2"/>
        <v>2022</v>
      </c>
      <c r="J21" s="11">
        <f t="shared" ca="1" si="3"/>
        <v>11</v>
      </c>
      <c r="K21" s="11">
        <f t="shared" ca="1" si="4"/>
        <v>11</v>
      </c>
      <c r="L21" s="11">
        <f t="shared" ca="1" si="5"/>
        <v>12</v>
      </c>
      <c r="M21" s="11">
        <f t="shared" ca="1" si="6"/>
        <v>29</v>
      </c>
      <c r="N21" s="11">
        <v>1550</v>
      </c>
      <c r="O21" s="11">
        <v>0.19</v>
      </c>
      <c r="P21" t="s">
        <v>10</v>
      </c>
      <c r="Q21" s="12" t="s">
        <v>21</v>
      </c>
      <c r="R21" s="13" t="s">
        <v>22</v>
      </c>
      <c r="S21" s="14"/>
      <c r="V21" s="10"/>
    </row>
    <row r="22" spans="1:22" ht="14.25" x14ac:dyDescent="0.15">
      <c r="A22" s="9"/>
      <c r="B22" s="6" t="s">
        <v>48</v>
      </c>
      <c r="C22" s="6" t="s">
        <v>31</v>
      </c>
      <c r="D22" s="11">
        <v>750.2</v>
      </c>
      <c r="E22" s="11">
        <v>1</v>
      </c>
      <c r="F22" s="11">
        <v>1</v>
      </c>
      <c r="G22" s="18" t="str">
        <f t="shared" si="0"/>
        <v>24</v>
      </c>
      <c r="H22" s="11" t="str">
        <f t="shared" ca="1" si="1"/>
        <v>2022/11/17</v>
      </c>
      <c r="I22" s="11">
        <f t="shared" ca="1" si="2"/>
        <v>2022</v>
      </c>
      <c r="J22" s="11">
        <f t="shared" ca="1" si="3"/>
        <v>11</v>
      </c>
      <c r="K22" s="11">
        <f t="shared" ca="1" si="4"/>
        <v>17</v>
      </c>
      <c r="L22" s="11">
        <f t="shared" ca="1" si="5"/>
        <v>9</v>
      </c>
      <c r="M22" s="11">
        <f t="shared" ca="1" si="6"/>
        <v>49</v>
      </c>
      <c r="N22" s="11">
        <v>1550</v>
      </c>
      <c r="O22" s="11">
        <v>0.19</v>
      </c>
      <c r="P22" t="s">
        <v>10</v>
      </c>
      <c r="Q22" s="12" t="s">
        <v>21</v>
      </c>
      <c r="R22" s="13" t="s">
        <v>22</v>
      </c>
      <c r="S22" s="14"/>
      <c r="V22" s="10"/>
    </row>
    <row r="23" spans="1:22" ht="14.25" x14ac:dyDescent="0.15">
      <c r="A23" s="9"/>
      <c r="B23" s="16" t="s">
        <v>49</v>
      </c>
      <c r="C23" s="16" t="s">
        <v>31</v>
      </c>
      <c r="D23" s="11">
        <v>852.5</v>
      </c>
      <c r="F23" s="11">
        <v>1</v>
      </c>
      <c r="G23" s="18" t="str">
        <f t="shared" si="0"/>
        <v>24</v>
      </c>
      <c r="H23" s="11" t="str">
        <f t="shared" ca="1" si="1"/>
        <v>2022/11/11</v>
      </c>
      <c r="I23" s="11">
        <f t="shared" ca="1" si="2"/>
        <v>2022</v>
      </c>
      <c r="J23" s="11">
        <f t="shared" ca="1" si="3"/>
        <v>11</v>
      </c>
      <c r="K23" s="11">
        <f t="shared" ca="1" si="4"/>
        <v>11</v>
      </c>
      <c r="L23" s="11">
        <f t="shared" ca="1" si="5"/>
        <v>8</v>
      </c>
      <c r="M23" s="11">
        <f t="shared" ca="1" si="6"/>
        <v>7</v>
      </c>
      <c r="N23" s="11">
        <v>1550</v>
      </c>
      <c r="O23" s="11">
        <v>0.19</v>
      </c>
      <c r="P23" t="s">
        <v>10</v>
      </c>
      <c r="Q23" s="12" t="s">
        <v>21</v>
      </c>
      <c r="R23" s="13" t="s">
        <v>22</v>
      </c>
      <c r="S23" s="14"/>
      <c r="V23" s="10"/>
    </row>
    <row r="24" spans="1:22" ht="14.25" x14ac:dyDescent="0.15">
      <c r="A24" s="9"/>
      <c r="B24" s="16" t="s">
        <v>50</v>
      </c>
      <c r="C24" s="16" t="s">
        <v>31</v>
      </c>
      <c r="D24" s="11">
        <v>323.5</v>
      </c>
      <c r="F24" s="11">
        <v>1</v>
      </c>
      <c r="G24" s="18" t="str">
        <f t="shared" si="0"/>
        <v>24</v>
      </c>
      <c r="H24" s="11" t="str">
        <f t="shared" ca="1" si="1"/>
        <v>2022/11/18</v>
      </c>
      <c r="I24" s="11">
        <f t="shared" ca="1" si="2"/>
        <v>2022</v>
      </c>
      <c r="J24" s="11">
        <f t="shared" ca="1" si="3"/>
        <v>11</v>
      </c>
      <c r="K24" s="11">
        <f t="shared" ca="1" si="4"/>
        <v>18</v>
      </c>
      <c r="L24" s="11">
        <f t="shared" ca="1" si="5"/>
        <v>7</v>
      </c>
      <c r="M24" s="11">
        <f t="shared" ca="1" si="6"/>
        <v>49</v>
      </c>
      <c r="N24" s="11">
        <v>1550</v>
      </c>
      <c r="O24" s="11">
        <v>0.19</v>
      </c>
      <c r="P24" t="s">
        <v>10</v>
      </c>
      <c r="Q24" s="12" t="s">
        <v>21</v>
      </c>
      <c r="R24" s="13" t="s">
        <v>22</v>
      </c>
      <c r="S24" s="14"/>
      <c r="V24" s="10"/>
    </row>
    <row r="25" spans="1:22" ht="14.25" x14ac:dyDescent="0.15">
      <c r="A25" s="9"/>
      <c r="B25" s="6" t="s">
        <v>51</v>
      </c>
      <c r="C25" s="6" t="s">
        <v>31</v>
      </c>
      <c r="D25" s="11">
        <v>991.6</v>
      </c>
      <c r="E25" s="11">
        <v>1</v>
      </c>
      <c r="F25" s="11">
        <v>1</v>
      </c>
      <c r="G25" s="18" t="str">
        <f t="shared" si="0"/>
        <v>24</v>
      </c>
      <c r="H25" s="11" t="str">
        <f t="shared" ca="1" si="1"/>
        <v>2022/11/13</v>
      </c>
      <c r="I25" s="11">
        <f t="shared" ca="1" si="2"/>
        <v>2022</v>
      </c>
      <c r="J25" s="11">
        <f t="shared" ca="1" si="3"/>
        <v>11</v>
      </c>
      <c r="K25" s="11">
        <f t="shared" ca="1" si="4"/>
        <v>13</v>
      </c>
      <c r="L25" s="11">
        <f t="shared" ca="1" si="5"/>
        <v>7</v>
      </c>
      <c r="M25" s="11">
        <f t="shared" ca="1" si="6"/>
        <v>27</v>
      </c>
      <c r="N25" s="11">
        <v>1550</v>
      </c>
      <c r="O25" s="11">
        <v>0.19</v>
      </c>
      <c r="P25" t="s">
        <v>10</v>
      </c>
      <c r="Q25" s="12" t="s">
        <v>21</v>
      </c>
      <c r="R25" s="13" t="s">
        <v>22</v>
      </c>
      <c r="S25" s="14"/>
      <c r="V25" s="10"/>
    </row>
    <row r="26" spans="1:22" ht="14.25" x14ac:dyDescent="0.15">
      <c r="A26" s="9"/>
      <c r="B26" s="6" t="s">
        <v>52</v>
      </c>
      <c r="C26" s="6" t="s">
        <v>31</v>
      </c>
      <c r="D26" s="11">
        <v>16.100000000000001</v>
      </c>
      <c r="F26" s="11">
        <v>1</v>
      </c>
      <c r="G26" s="18" t="str">
        <f t="shared" si="0"/>
        <v>24</v>
      </c>
      <c r="H26" s="11" t="str">
        <f t="shared" ca="1" si="1"/>
        <v>2022/11/12</v>
      </c>
      <c r="I26" s="11">
        <f t="shared" ca="1" si="2"/>
        <v>2022</v>
      </c>
      <c r="J26" s="11">
        <f t="shared" ca="1" si="3"/>
        <v>11</v>
      </c>
      <c r="K26" s="11">
        <f t="shared" ca="1" si="4"/>
        <v>12</v>
      </c>
      <c r="L26" s="11">
        <f t="shared" ca="1" si="5"/>
        <v>17</v>
      </c>
      <c r="M26" s="11">
        <f t="shared" ca="1" si="6"/>
        <v>6</v>
      </c>
      <c r="N26" s="11">
        <v>1550</v>
      </c>
      <c r="O26" s="11">
        <v>0.19</v>
      </c>
      <c r="P26" t="s">
        <v>10</v>
      </c>
      <c r="Q26" s="12" t="s">
        <v>21</v>
      </c>
      <c r="R26" s="13" t="s">
        <v>22</v>
      </c>
      <c r="S26" s="14"/>
      <c r="V26" s="10"/>
    </row>
    <row r="27" spans="1:22" ht="14.25" x14ac:dyDescent="0.15">
      <c r="A27" s="9"/>
      <c r="B27" s="11" t="s">
        <v>53</v>
      </c>
      <c r="C27" s="11" t="s">
        <v>31</v>
      </c>
      <c r="D27" s="11">
        <v>329.2</v>
      </c>
      <c r="F27" s="11">
        <v>1</v>
      </c>
      <c r="G27" s="18" t="str">
        <f t="shared" si="0"/>
        <v>24</v>
      </c>
      <c r="H27" s="11" t="str">
        <f t="shared" ca="1" si="1"/>
        <v>2022/11/13</v>
      </c>
      <c r="I27" s="11">
        <f t="shared" ca="1" si="2"/>
        <v>2022</v>
      </c>
      <c r="J27" s="11">
        <f t="shared" ca="1" si="3"/>
        <v>11</v>
      </c>
      <c r="K27" s="11">
        <f t="shared" ca="1" si="4"/>
        <v>13</v>
      </c>
      <c r="L27" s="11">
        <f t="shared" ca="1" si="5"/>
        <v>9</v>
      </c>
      <c r="M27" s="11">
        <f t="shared" ca="1" si="6"/>
        <v>18</v>
      </c>
      <c r="N27" s="11">
        <v>1550</v>
      </c>
      <c r="O27" s="11">
        <v>0.19</v>
      </c>
      <c r="P27" t="s">
        <v>10</v>
      </c>
      <c r="Q27" s="12" t="s">
        <v>21</v>
      </c>
      <c r="R27" s="13" t="s">
        <v>22</v>
      </c>
      <c r="S27" s="14"/>
      <c r="V27" s="10"/>
    </row>
    <row r="28" spans="1:22" ht="14.25" x14ac:dyDescent="0.15">
      <c r="A28" s="9"/>
      <c r="B28" s="11" t="s">
        <v>71</v>
      </c>
      <c r="C28" s="11" t="s">
        <v>31</v>
      </c>
      <c r="D28" s="11">
        <v>45.5</v>
      </c>
      <c r="F28" s="11">
        <v>1</v>
      </c>
      <c r="G28" s="18" t="str">
        <f t="shared" si="0"/>
        <v>24</v>
      </c>
      <c r="H28" s="11" t="str">
        <f t="shared" ca="1" si="1"/>
        <v>2022/11/18</v>
      </c>
      <c r="I28" s="11">
        <f t="shared" ca="1" si="2"/>
        <v>2022</v>
      </c>
      <c r="J28" s="11">
        <f t="shared" ca="1" si="3"/>
        <v>11</v>
      </c>
      <c r="K28" s="11">
        <f t="shared" ca="1" si="4"/>
        <v>18</v>
      </c>
      <c r="L28" s="11">
        <f t="shared" ca="1" si="5"/>
        <v>10</v>
      </c>
      <c r="M28" s="11">
        <f t="shared" ca="1" si="6"/>
        <v>53</v>
      </c>
      <c r="N28" s="11">
        <v>1550</v>
      </c>
      <c r="O28" s="11">
        <v>0.19</v>
      </c>
      <c r="P28" t="s">
        <v>10</v>
      </c>
      <c r="Q28" s="12" t="s">
        <v>21</v>
      </c>
      <c r="R28" s="13" t="s">
        <v>22</v>
      </c>
      <c r="S28" s="14"/>
      <c r="V28" s="10"/>
    </row>
    <row r="29" spans="1:22" ht="14.25" x14ac:dyDescent="0.15">
      <c r="A29" s="9"/>
      <c r="B29" s="11" t="s">
        <v>72</v>
      </c>
      <c r="C29" s="11" t="s">
        <v>31</v>
      </c>
      <c r="D29" s="11">
        <v>235.7</v>
      </c>
      <c r="F29" s="11">
        <v>1</v>
      </c>
      <c r="G29" s="18" t="str">
        <f t="shared" si="0"/>
        <v>24</v>
      </c>
      <c r="H29" s="11" t="str">
        <f t="shared" ca="1" si="1"/>
        <v>2022/11/18</v>
      </c>
      <c r="I29" s="11">
        <f t="shared" ca="1" si="2"/>
        <v>2022</v>
      </c>
      <c r="J29" s="11">
        <f t="shared" ca="1" si="3"/>
        <v>11</v>
      </c>
      <c r="K29" s="11">
        <f t="shared" ca="1" si="4"/>
        <v>18</v>
      </c>
      <c r="L29" s="11">
        <f t="shared" ca="1" si="5"/>
        <v>14</v>
      </c>
      <c r="M29" s="11">
        <f t="shared" ca="1" si="6"/>
        <v>37</v>
      </c>
      <c r="N29" s="11">
        <v>1550</v>
      </c>
      <c r="O29" s="11">
        <v>0.19</v>
      </c>
      <c r="P29" t="s">
        <v>10</v>
      </c>
      <c r="Q29" s="12" t="s">
        <v>21</v>
      </c>
      <c r="R29" s="13" t="s">
        <v>22</v>
      </c>
      <c r="S29" s="14"/>
      <c r="V29" s="10"/>
    </row>
    <row r="30" spans="1:22" ht="14.25" x14ac:dyDescent="0.15">
      <c r="A30" s="9"/>
      <c r="B30" s="11" t="s">
        <v>73</v>
      </c>
      <c r="C30" s="11" t="s">
        <v>31</v>
      </c>
      <c r="D30" s="11">
        <v>201.3</v>
      </c>
      <c r="F30" s="11">
        <v>1</v>
      </c>
      <c r="G30" s="18" t="str">
        <f t="shared" si="0"/>
        <v>24</v>
      </c>
      <c r="H30" s="11" t="str">
        <f t="shared" ca="1" si="1"/>
        <v>2022/11/12</v>
      </c>
      <c r="I30" s="11">
        <f t="shared" ca="1" si="2"/>
        <v>2022</v>
      </c>
      <c r="J30" s="11">
        <f t="shared" ca="1" si="3"/>
        <v>11</v>
      </c>
      <c r="K30" s="11">
        <f t="shared" ca="1" si="4"/>
        <v>12</v>
      </c>
      <c r="L30" s="11">
        <f t="shared" ca="1" si="5"/>
        <v>11</v>
      </c>
      <c r="M30" s="11">
        <f t="shared" ca="1" si="6"/>
        <v>20</v>
      </c>
      <c r="N30" s="11">
        <v>1550</v>
      </c>
      <c r="O30" s="11">
        <v>0.19</v>
      </c>
      <c r="P30" t="s">
        <v>10</v>
      </c>
      <c r="Q30" s="12" t="s">
        <v>21</v>
      </c>
      <c r="R30" s="13" t="s">
        <v>22</v>
      </c>
      <c r="S30" s="14"/>
      <c r="V30" s="10"/>
    </row>
    <row r="31" spans="1:22" ht="14.25" x14ac:dyDescent="0.15">
      <c r="A31" s="9"/>
      <c r="B31" s="11" t="s">
        <v>74</v>
      </c>
      <c r="C31" s="11" t="s">
        <v>31</v>
      </c>
      <c r="D31" s="11">
        <v>210.7</v>
      </c>
      <c r="F31" s="11">
        <v>1</v>
      </c>
      <c r="G31" s="18" t="str">
        <f t="shared" si="0"/>
        <v>24</v>
      </c>
      <c r="H31" s="11" t="str">
        <f t="shared" ca="1" si="1"/>
        <v>2022/11/14</v>
      </c>
      <c r="I31" s="11">
        <f t="shared" ca="1" si="2"/>
        <v>2022</v>
      </c>
      <c r="J31" s="11">
        <f t="shared" ca="1" si="3"/>
        <v>11</v>
      </c>
      <c r="K31" s="11">
        <f t="shared" ca="1" si="4"/>
        <v>14</v>
      </c>
      <c r="L31" s="11">
        <f t="shared" ca="1" si="5"/>
        <v>9</v>
      </c>
      <c r="M31" s="11">
        <f t="shared" ca="1" si="6"/>
        <v>14</v>
      </c>
      <c r="N31" s="11">
        <v>1550</v>
      </c>
      <c r="O31" s="11">
        <v>0.19</v>
      </c>
      <c r="P31" t="s">
        <v>10</v>
      </c>
      <c r="Q31" s="12" t="s">
        <v>21</v>
      </c>
      <c r="R31" s="13" t="s">
        <v>22</v>
      </c>
      <c r="S31" s="14"/>
      <c r="V31" s="10"/>
    </row>
    <row r="32" spans="1:22" ht="14.25" x14ac:dyDescent="0.15">
      <c r="A32" s="9"/>
      <c r="B32" s="11" t="s">
        <v>75</v>
      </c>
      <c r="C32" s="11" t="s">
        <v>31</v>
      </c>
      <c r="D32" s="11">
        <v>232.1</v>
      </c>
      <c r="F32" s="11">
        <v>1</v>
      </c>
      <c r="G32" s="18" t="str">
        <f t="shared" si="0"/>
        <v>24</v>
      </c>
      <c r="H32" s="11" t="str">
        <f t="shared" ca="1" si="1"/>
        <v>2022/11/19</v>
      </c>
      <c r="I32" s="11">
        <f t="shared" ca="1" si="2"/>
        <v>2022</v>
      </c>
      <c r="J32" s="11">
        <f t="shared" ca="1" si="3"/>
        <v>11</v>
      </c>
      <c r="K32" s="11">
        <f t="shared" ca="1" si="4"/>
        <v>19</v>
      </c>
      <c r="L32" s="11">
        <f t="shared" ca="1" si="5"/>
        <v>16</v>
      </c>
      <c r="M32" s="11">
        <f t="shared" ca="1" si="6"/>
        <v>25</v>
      </c>
      <c r="N32" s="11">
        <v>1550</v>
      </c>
      <c r="O32" s="11">
        <v>0.19</v>
      </c>
      <c r="P32" t="s">
        <v>10</v>
      </c>
      <c r="Q32" s="12" t="s">
        <v>21</v>
      </c>
      <c r="R32" s="13" t="s">
        <v>22</v>
      </c>
      <c r="S32" s="14"/>
      <c r="V32" s="10"/>
    </row>
    <row r="33" spans="1:22" ht="14.25" x14ac:dyDescent="0.15">
      <c r="A33" s="9"/>
      <c r="B33" s="11" t="s">
        <v>66</v>
      </c>
      <c r="C33" s="11" t="s">
        <v>31</v>
      </c>
      <c r="D33" s="11">
        <v>452.3</v>
      </c>
      <c r="F33" s="11">
        <v>1</v>
      </c>
      <c r="G33" s="18" t="str">
        <f t="shared" si="0"/>
        <v>24</v>
      </c>
      <c r="H33" s="11" t="str">
        <f t="shared" ca="1" si="1"/>
        <v>2022/11/18</v>
      </c>
      <c r="I33" s="11">
        <f t="shared" ca="1" si="2"/>
        <v>2022</v>
      </c>
      <c r="J33" s="11">
        <f t="shared" ca="1" si="3"/>
        <v>11</v>
      </c>
      <c r="K33" s="11">
        <f t="shared" ca="1" si="4"/>
        <v>18</v>
      </c>
      <c r="L33" s="11">
        <f t="shared" ca="1" si="5"/>
        <v>13</v>
      </c>
      <c r="M33" s="11">
        <f t="shared" ca="1" si="6"/>
        <v>30</v>
      </c>
      <c r="N33" s="11">
        <v>1550</v>
      </c>
      <c r="O33" s="11">
        <v>0.19</v>
      </c>
      <c r="P33" t="s">
        <v>10</v>
      </c>
      <c r="Q33" s="12" t="s">
        <v>21</v>
      </c>
      <c r="R33" s="13" t="s">
        <v>22</v>
      </c>
      <c r="S33" s="14"/>
      <c r="V33" s="10"/>
    </row>
    <row r="34" spans="1:22" ht="14.25" x14ac:dyDescent="0.15">
      <c r="A34" s="9"/>
      <c r="B34" s="11" t="s">
        <v>67</v>
      </c>
      <c r="C34" s="11" t="s">
        <v>31</v>
      </c>
      <c r="D34" s="11">
        <v>229.1</v>
      </c>
      <c r="F34" s="11">
        <v>1</v>
      </c>
      <c r="G34" s="18" t="str">
        <f t="shared" si="0"/>
        <v>24</v>
      </c>
      <c r="H34" s="11" t="str">
        <f t="shared" ca="1" si="1"/>
        <v>2022/11/13</v>
      </c>
      <c r="I34" s="11">
        <f t="shared" ca="1" si="2"/>
        <v>2022</v>
      </c>
      <c r="J34" s="11">
        <f t="shared" ca="1" si="3"/>
        <v>11</v>
      </c>
      <c r="K34" s="11">
        <f t="shared" ca="1" si="4"/>
        <v>13</v>
      </c>
      <c r="L34" s="11">
        <f t="shared" ca="1" si="5"/>
        <v>14</v>
      </c>
      <c r="M34" s="11">
        <f t="shared" ca="1" si="6"/>
        <v>2</v>
      </c>
      <c r="N34" s="11">
        <v>1550</v>
      </c>
      <c r="O34" s="11">
        <v>0.19</v>
      </c>
      <c r="P34" t="s">
        <v>10</v>
      </c>
      <c r="Q34" s="12" t="s">
        <v>21</v>
      </c>
      <c r="R34" s="13" t="s">
        <v>22</v>
      </c>
      <c r="S34" s="14"/>
      <c r="V34" s="10"/>
    </row>
    <row r="35" spans="1:22" ht="14.25" x14ac:dyDescent="0.15">
      <c r="A35" s="9"/>
      <c r="B35" s="11" t="s">
        <v>68</v>
      </c>
      <c r="C35" s="11" t="s">
        <v>31</v>
      </c>
      <c r="D35" s="11">
        <v>338.4</v>
      </c>
      <c r="F35" s="11">
        <v>1</v>
      </c>
      <c r="G35" s="18" t="str">
        <f t="shared" si="0"/>
        <v>24</v>
      </c>
      <c r="H35" s="11" t="str">
        <f t="shared" ca="1" si="1"/>
        <v>2022/11/18</v>
      </c>
      <c r="I35" s="11">
        <f t="shared" ca="1" si="2"/>
        <v>2022</v>
      </c>
      <c r="J35" s="11">
        <f t="shared" ca="1" si="3"/>
        <v>11</v>
      </c>
      <c r="K35" s="11">
        <f t="shared" ca="1" si="4"/>
        <v>18</v>
      </c>
      <c r="L35" s="11">
        <f t="shared" ca="1" si="5"/>
        <v>11</v>
      </c>
      <c r="M35" s="11">
        <f t="shared" ca="1" si="6"/>
        <v>29</v>
      </c>
      <c r="N35" s="11">
        <v>1550</v>
      </c>
      <c r="O35" s="11">
        <v>0.19</v>
      </c>
      <c r="P35" t="s">
        <v>10</v>
      </c>
      <c r="Q35" s="12" t="s">
        <v>21</v>
      </c>
      <c r="R35" s="13" t="s">
        <v>22</v>
      </c>
      <c r="S35" s="14"/>
      <c r="V35" s="10"/>
    </row>
    <row r="36" spans="1:22" ht="14.25" x14ac:dyDescent="0.15">
      <c r="A36" s="9"/>
      <c r="B36" s="11" t="s">
        <v>69</v>
      </c>
      <c r="C36" s="11" t="s">
        <v>31</v>
      </c>
      <c r="D36" s="11">
        <v>289.10000000000002</v>
      </c>
      <c r="F36" s="11">
        <v>1</v>
      </c>
      <c r="G36" s="18" t="str">
        <f t="shared" si="0"/>
        <v>24</v>
      </c>
      <c r="H36" s="11" t="str">
        <f t="shared" ca="1" si="1"/>
        <v>2022/11/12</v>
      </c>
      <c r="I36" s="11">
        <f t="shared" ca="1" si="2"/>
        <v>2022</v>
      </c>
      <c r="J36" s="11">
        <f t="shared" ca="1" si="3"/>
        <v>11</v>
      </c>
      <c r="K36" s="11">
        <f t="shared" ca="1" si="4"/>
        <v>12</v>
      </c>
      <c r="L36" s="11">
        <f t="shared" ca="1" si="5"/>
        <v>14</v>
      </c>
      <c r="M36" s="11">
        <f t="shared" ca="1" si="6"/>
        <v>6</v>
      </c>
      <c r="N36" s="11">
        <v>1550</v>
      </c>
      <c r="O36" s="11">
        <v>0.19</v>
      </c>
      <c r="P36" t="s">
        <v>10</v>
      </c>
      <c r="Q36" s="12" t="s">
        <v>21</v>
      </c>
      <c r="R36" s="13" t="s">
        <v>22</v>
      </c>
      <c r="S36" s="14"/>
      <c r="V36" s="10"/>
    </row>
    <row r="37" spans="1:22" ht="14.25" x14ac:dyDescent="0.15">
      <c r="A37" s="9"/>
      <c r="B37" s="11" t="s">
        <v>70</v>
      </c>
      <c r="C37" s="11" t="s">
        <v>31</v>
      </c>
      <c r="D37" s="11">
        <v>47</v>
      </c>
      <c r="F37" s="11">
        <v>1</v>
      </c>
      <c r="G37" s="18" t="str">
        <f t="shared" si="0"/>
        <v>24</v>
      </c>
      <c r="H37" s="11" t="str">
        <f t="shared" ca="1" si="1"/>
        <v>2022/11/11</v>
      </c>
      <c r="I37" s="11">
        <f t="shared" ca="1" si="2"/>
        <v>2022</v>
      </c>
      <c r="J37" s="11">
        <f t="shared" ca="1" si="3"/>
        <v>11</v>
      </c>
      <c r="K37" s="11">
        <f t="shared" ca="1" si="4"/>
        <v>11</v>
      </c>
      <c r="L37" s="11">
        <f t="shared" ca="1" si="5"/>
        <v>11</v>
      </c>
      <c r="M37" s="11">
        <f t="shared" ca="1" si="6"/>
        <v>34</v>
      </c>
      <c r="N37" s="11">
        <v>1550</v>
      </c>
      <c r="O37" s="11">
        <v>0.19</v>
      </c>
      <c r="P37" t="s">
        <v>10</v>
      </c>
      <c r="Q37" s="12" t="s">
        <v>21</v>
      </c>
      <c r="R37" s="13" t="s">
        <v>22</v>
      </c>
      <c r="S37" s="14"/>
      <c r="V37" s="10"/>
    </row>
    <row r="38" spans="1:22" ht="14.25" x14ac:dyDescent="0.15">
      <c r="A38" s="9"/>
      <c r="B38" s="11" t="s">
        <v>54</v>
      </c>
      <c r="C38" s="11" t="s">
        <v>31</v>
      </c>
      <c r="D38" s="11">
        <v>2637.4</v>
      </c>
      <c r="E38" s="11">
        <v>1</v>
      </c>
      <c r="F38" s="11">
        <v>1</v>
      </c>
      <c r="G38" s="18" t="str">
        <f t="shared" si="0"/>
        <v>24</v>
      </c>
      <c r="H38" s="11" t="str">
        <f t="shared" ca="1" si="1"/>
        <v>2022/11/16</v>
      </c>
      <c r="I38" s="11">
        <f t="shared" ca="1" si="2"/>
        <v>2022</v>
      </c>
      <c r="J38" s="11">
        <f t="shared" ca="1" si="3"/>
        <v>11</v>
      </c>
      <c r="K38" s="11">
        <f t="shared" ca="1" si="4"/>
        <v>16</v>
      </c>
      <c r="L38" s="11">
        <f t="shared" ca="1" si="5"/>
        <v>11</v>
      </c>
      <c r="M38" s="11">
        <f t="shared" ca="1" si="6"/>
        <v>12</v>
      </c>
      <c r="N38" s="11">
        <v>1550</v>
      </c>
      <c r="O38" s="11">
        <v>0.19</v>
      </c>
      <c r="P38" t="s">
        <v>10</v>
      </c>
      <c r="Q38" s="12" t="s">
        <v>21</v>
      </c>
      <c r="R38" s="13" t="s">
        <v>22</v>
      </c>
      <c r="S38" s="14"/>
      <c r="V38" s="10"/>
    </row>
    <row r="39" spans="1:22" ht="14.25" x14ac:dyDescent="0.15">
      <c r="A39" s="9"/>
      <c r="B39" s="11" t="s">
        <v>55</v>
      </c>
      <c r="C39" s="11" t="s">
        <v>31</v>
      </c>
      <c r="D39" s="11">
        <v>438.7</v>
      </c>
      <c r="F39" s="11">
        <v>1</v>
      </c>
      <c r="G39" s="18" t="str">
        <f t="shared" si="0"/>
        <v>24</v>
      </c>
      <c r="H39" s="11" t="str">
        <f t="shared" ca="1" si="1"/>
        <v>2022/11/15</v>
      </c>
      <c r="I39" s="11">
        <f t="shared" ca="1" si="2"/>
        <v>2022</v>
      </c>
      <c r="J39" s="11">
        <f t="shared" ca="1" si="3"/>
        <v>11</v>
      </c>
      <c r="K39" s="11">
        <f t="shared" ca="1" si="4"/>
        <v>15</v>
      </c>
      <c r="L39" s="11">
        <f t="shared" ca="1" si="5"/>
        <v>9</v>
      </c>
      <c r="M39" s="11">
        <f t="shared" ca="1" si="6"/>
        <v>37</v>
      </c>
      <c r="N39" s="11">
        <v>1550</v>
      </c>
      <c r="O39" s="11">
        <v>0.19</v>
      </c>
      <c r="P39" t="s">
        <v>10</v>
      </c>
      <c r="Q39" s="12" t="s">
        <v>21</v>
      </c>
      <c r="R39" s="13" t="s">
        <v>22</v>
      </c>
      <c r="S39" s="14"/>
      <c r="V39" s="10"/>
    </row>
    <row r="40" spans="1:22" ht="14.25" x14ac:dyDescent="0.15">
      <c r="A40" s="9"/>
      <c r="B40" s="11" t="s">
        <v>56</v>
      </c>
      <c r="C40" s="11" t="s">
        <v>31</v>
      </c>
      <c r="D40" s="11">
        <v>472.6</v>
      </c>
      <c r="F40" s="11">
        <v>1</v>
      </c>
      <c r="G40" s="18" t="str">
        <f t="shared" si="0"/>
        <v>24</v>
      </c>
      <c r="H40" s="11" t="str">
        <f t="shared" ca="1" si="1"/>
        <v>2022/11/13</v>
      </c>
      <c r="I40" s="11">
        <f t="shared" ca="1" si="2"/>
        <v>2022</v>
      </c>
      <c r="J40" s="11">
        <f t="shared" ca="1" si="3"/>
        <v>11</v>
      </c>
      <c r="K40" s="11">
        <f t="shared" ca="1" si="4"/>
        <v>13</v>
      </c>
      <c r="L40" s="11">
        <f t="shared" ca="1" si="5"/>
        <v>11</v>
      </c>
      <c r="M40" s="11">
        <f t="shared" ca="1" si="6"/>
        <v>48</v>
      </c>
      <c r="N40" s="11">
        <v>1550</v>
      </c>
      <c r="O40" s="11">
        <v>0.19</v>
      </c>
      <c r="P40" t="s">
        <v>10</v>
      </c>
      <c r="Q40" s="12" t="s">
        <v>21</v>
      </c>
      <c r="R40" s="13" t="s">
        <v>22</v>
      </c>
      <c r="S40" s="14"/>
      <c r="V40" s="10"/>
    </row>
    <row r="41" spans="1:22" ht="14.25" x14ac:dyDescent="0.15">
      <c r="A41" s="9"/>
      <c r="B41" s="11" t="s">
        <v>57</v>
      </c>
      <c r="C41" s="11" t="s">
        <v>31</v>
      </c>
      <c r="D41" s="11">
        <v>220.4</v>
      </c>
      <c r="F41" s="11">
        <v>1</v>
      </c>
      <c r="G41" s="18" t="str">
        <f t="shared" si="0"/>
        <v>24</v>
      </c>
      <c r="H41" s="11" t="str">
        <f t="shared" ca="1" si="1"/>
        <v>2022/11/14</v>
      </c>
      <c r="I41" s="11">
        <f t="shared" ca="1" si="2"/>
        <v>2022</v>
      </c>
      <c r="J41" s="11">
        <f t="shared" ca="1" si="3"/>
        <v>11</v>
      </c>
      <c r="K41" s="11">
        <f t="shared" ca="1" si="4"/>
        <v>14</v>
      </c>
      <c r="L41" s="11">
        <f t="shared" ca="1" si="5"/>
        <v>8</v>
      </c>
      <c r="M41" s="11">
        <f t="shared" ca="1" si="6"/>
        <v>17</v>
      </c>
      <c r="N41" s="11">
        <v>1550</v>
      </c>
      <c r="O41" s="11">
        <v>0.19</v>
      </c>
      <c r="P41" t="s">
        <v>10</v>
      </c>
      <c r="Q41" s="12" t="s">
        <v>21</v>
      </c>
      <c r="R41" s="13" t="s">
        <v>22</v>
      </c>
      <c r="S41" s="14"/>
      <c r="V41" s="10"/>
    </row>
    <row r="42" spans="1:22" ht="14.25" x14ac:dyDescent="0.15">
      <c r="A42" s="9"/>
      <c r="B42" s="11" t="s">
        <v>58</v>
      </c>
      <c r="C42" s="11" t="s">
        <v>31</v>
      </c>
      <c r="D42" s="11">
        <v>724</v>
      </c>
      <c r="F42" s="11">
        <v>1</v>
      </c>
      <c r="G42" s="18" t="str">
        <f t="shared" si="0"/>
        <v>24</v>
      </c>
      <c r="H42" s="11" t="str">
        <f t="shared" ca="1" si="1"/>
        <v>2022/11/17</v>
      </c>
      <c r="I42" s="11">
        <f t="shared" ca="1" si="2"/>
        <v>2022</v>
      </c>
      <c r="J42" s="11">
        <f t="shared" ca="1" si="3"/>
        <v>11</v>
      </c>
      <c r="K42" s="11">
        <f t="shared" ca="1" si="4"/>
        <v>17</v>
      </c>
      <c r="L42" s="11">
        <f t="shared" ca="1" si="5"/>
        <v>16</v>
      </c>
      <c r="M42" s="11">
        <f t="shared" ca="1" si="6"/>
        <v>55</v>
      </c>
      <c r="N42" s="11">
        <v>1550</v>
      </c>
      <c r="O42" s="11">
        <v>0.19</v>
      </c>
      <c r="P42" t="s">
        <v>10</v>
      </c>
      <c r="Q42" s="12" t="s">
        <v>21</v>
      </c>
      <c r="R42" s="13" t="s">
        <v>22</v>
      </c>
      <c r="S42" s="14"/>
      <c r="V42" s="10"/>
    </row>
    <row r="43" spans="1:22" ht="14.25" x14ac:dyDescent="0.15">
      <c r="A43" s="9"/>
      <c r="B43" s="11" t="s">
        <v>59</v>
      </c>
      <c r="C43" s="11" t="s">
        <v>31</v>
      </c>
      <c r="D43" s="11">
        <v>857.3</v>
      </c>
      <c r="F43" s="11">
        <v>1</v>
      </c>
      <c r="G43" s="18" t="str">
        <f t="shared" si="0"/>
        <v>24</v>
      </c>
      <c r="H43" s="11" t="str">
        <f t="shared" ca="1" si="1"/>
        <v>2022/11/12</v>
      </c>
      <c r="I43" s="11">
        <f t="shared" ca="1" si="2"/>
        <v>2022</v>
      </c>
      <c r="J43" s="11">
        <f t="shared" ca="1" si="3"/>
        <v>11</v>
      </c>
      <c r="K43" s="11">
        <f t="shared" ca="1" si="4"/>
        <v>12</v>
      </c>
      <c r="L43" s="11">
        <f t="shared" ca="1" si="5"/>
        <v>12</v>
      </c>
      <c r="M43" s="11">
        <f t="shared" ca="1" si="6"/>
        <v>24</v>
      </c>
      <c r="N43" s="11">
        <v>1550</v>
      </c>
      <c r="O43" s="11">
        <v>0.19</v>
      </c>
      <c r="P43" t="s">
        <v>10</v>
      </c>
      <c r="Q43" s="12" t="s">
        <v>21</v>
      </c>
      <c r="R43" s="13" t="s">
        <v>22</v>
      </c>
      <c r="S43" s="14"/>
      <c r="V43" s="10"/>
    </row>
    <row r="44" spans="1:22" ht="14.25" x14ac:dyDescent="0.15">
      <c r="A44" s="9"/>
      <c r="B44" s="11" t="s">
        <v>60</v>
      </c>
      <c r="C44" s="11" t="s">
        <v>31</v>
      </c>
      <c r="D44" s="11">
        <v>88.3</v>
      </c>
      <c r="F44" s="11">
        <v>1</v>
      </c>
      <c r="G44" s="18" t="str">
        <f t="shared" si="0"/>
        <v>24</v>
      </c>
      <c r="H44" s="11" t="str">
        <f t="shared" ca="1" si="1"/>
        <v>2022/11/18</v>
      </c>
      <c r="I44" s="11">
        <f t="shared" ca="1" si="2"/>
        <v>2022</v>
      </c>
      <c r="J44" s="11">
        <f t="shared" ca="1" si="3"/>
        <v>11</v>
      </c>
      <c r="K44" s="11">
        <f t="shared" ca="1" si="4"/>
        <v>18</v>
      </c>
      <c r="L44" s="11">
        <f t="shared" ca="1" si="5"/>
        <v>9</v>
      </c>
      <c r="M44" s="11">
        <f t="shared" ca="1" si="6"/>
        <v>48</v>
      </c>
      <c r="N44" s="11">
        <v>1550</v>
      </c>
      <c r="O44" s="11">
        <v>0.19</v>
      </c>
      <c r="P44" t="s">
        <v>10</v>
      </c>
      <c r="Q44" s="12" t="s">
        <v>21</v>
      </c>
      <c r="R44" s="13" t="s">
        <v>22</v>
      </c>
      <c r="S44" s="14"/>
      <c r="V44" s="10"/>
    </row>
    <row r="45" spans="1:22" ht="14.25" x14ac:dyDescent="0.15">
      <c r="A45" s="9"/>
      <c r="B45" s="11" t="s">
        <v>61</v>
      </c>
      <c r="C45" s="11" t="s">
        <v>31</v>
      </c>
      <c r="D45" s="11">
        <v>1643.3</v>
      </c>
      <c r="E45" s="11">
        <v>1</v>
      </c>
      <c r="F45" s="11">
        <v>1</v>
      </c>
      <c r="G45" s="18" t="str">
        <f t="shared" si="0"/>
        <v>24</v>
      </c>
      <c r="H45" s="11" t="str">
        <f t="shared" ca="1" si="1"/>
        <v>2022/11/13</v>
      </c>
      <c r="I45" s="11">
        <f t="shared" ca="1" si="2"/>
        <v>2022</v>
      </c>
      <c r="J45" s="11">
        <f t="shared" ca="1" si="3"/>
        <v>11</v>
      </c>
      <c r="K45" s="11">
        <f t="shared" ca="1" si="4"/>
        <v>13</v>
      </c>
      <c r="L45" s="11">
        <f t="shared" ca="1" si="5"/>
        <v>7</v>
      </c>
      <c r="M45" s="11">
        <f t="shared" ca="1" si="6"/>
        <v>28</v>
      </c>
      <c r="N45" s="11">
        <v>1550</v>
      </c>
      <c r="O45" s="11">
        <v>0.19</v>
      </c>
      <c r="P45" t="s">
        <v>10</v>
      </c>
      <c r="Q45" s="12" t="s">
        <v>21</v>
      </c>
      <c r="R45" s="13" t="s">
        <v>22</v>
      </c>
      <c r="S45" s="14"/>
      <c r="V45" s="10"/>
    </row>
    <row r="46" spans="1:22" ht="14.25" x14ac:dyDescent="0.15">
      <c r="A46" s="9"/>
      <c r="B46" s="11" t="s">
        <v>62</v>
      </c>
      <c r="C46" s="11" t="s">
        <v>31</v>
      </c>
      <c r="D46" s="11">
        <v>878.3</v>
      </c>
      <c r="F46" s="11">
        <v>1</v>
      </c>
      <c r="G46" s="18" t="str">
        <f t="shared" si="0"/>
        <v>24</v>
      </c>
      <c r="H46" s="11" t="str">
        <f t="shared" ca="1" si="1"/>
        <v>2022/11/17</v>
      </c>
      <c r="I46" s="11">
        <f t="shared" ca="1" si="2"/>
        <v>2022</v>
      </c>
      <c r="J46" s="11">
        <f t="shared" ca="1" si="3"/>
        <v>11</v>
      </c>
      <c r="K46" s="11">
        <f t="shared" ca="1" si="4"/>
        <v>17</v>
      </c>
      <c r="L46" s="11">
        <f t="shared" ca="1" si="5"/>
        <v>9</v>
      </c>
      <c r="M46" s="11">
        <f t="shared" ca="1" si="6"/>
        <v>28</v>
      </c>
      <c r="N46" s="11">
        <v>1550</v>
      </c>
      <c r="O46" s="11">
        <v>0.19</v>
      </c>
      <c r="P46" t="s">
        <v>10</v>
      </c>
      <c r="Q46" s="12" t="s">
        <v>21</v>
      </c>
      <c r="R46" s="13" t="s">
        <v>22</v>
      </c>
      <c r="S46" s="14"/>
      <c r="V46" s="10"/>
    </row>
    <row r="47" spans="1:22" ht="14.25" x14ac:dyDescent="0.15">
      <c r="A47" s="9"/>
      <c r="B47" s="11" t="s">
        <v>63</v>
      </c>
      <c r="C47" s="11" t="s">
        <v>31</v>
      </c>
      <c r="D47" s="11">
        <v>707.4</v>
      </c>
      <c r="E47" s="11">
        <v>1</v>
      </c>
      <c r="F47" s="11">
        <v>1</v>
      </c>
      <c r="G47" s="18" t="str">
        <f t="shared" si="0"/>
        <v>24</v>
      </c>
      <c r="H47" s="11" t="str">
        <f t="shared" ca="1" si="1"/>
        <v>2022/11/14</v>
      </c>
      <c r="I47" s="11">
        <f t="shared" ca="1" si="2"/>
        <v>2022</v>
      </c>
      <c r="J47" s="11">
        <f t="shared" ca="1" si="3"/>
        <v>11</v>
      </c>
      <c r="K47" s="11">
        <f t="shared" ca="1" si="4"/>
        <v>14</v>
      </c>
      <c r="L47" s="11">
        <f t="shared" ca="1" si="5"/>
        <v>10</v>
      </c>
      <c r="M47" s="11">
        <f t="shared" ca="1" si="6"/>
        <v>37</v>
      </c>
      <c r="N47" s="11">
        <v>1550</v>
      </c>
      <c r="O47" s="11">
        <v>0.19</v>
      </c>
      <c r="P47" t="s">
        <v>10</v>
      </c>
      <c r="Q47" s="12" t="s">
        <v>21</v>
      </c>
      <c r="R47" s="13" t="s">
        <v>22</v>
      </c>
      <c r="S47" s="14"/>
      <c r="V47" s="10"/>
    </row>
    <row r="48" spans="1:22" ht="14.25" x14ac:dyDescent="0.15">
      <c r="A48" s="9"/>
      <c r="B48" s="11" t="s">
        <v>64</v>
      </c>
      <c r="C48" s="11" t="s">
        <v>31</v>
      </c>
      <c r="D48" s="11">
        <v>1239.2</v>
      </c>
      <c r="F48" s="11">
        <v>1</v>
      </c>
      <c r="G48" s="18" t="str">
        <f t="shared" si="0"/>
        <v>24</v>
      </c>
      <c r="H48" s="11" t="str">
        <f t="shared" ca="1" si="1"/>
        <v>2022/11/12</v>
      </c>
      <c r="I48" s="11">
        <f t="shared" ca="1" si="2"/>
        <v>2022</v>
      </c>
      <c r="J48" s="11">
        <f t="shared" ca="1" si="3"/>
        <v>11</v>
      </c>
      <c r="K48" s="11">
        <f t="shared" ca="1" si="4"/>
        <v>12</v>
      </c>
      <c r="L48" s="11">
        <f t="shared" ca="1" si="5"/>
        <v>10</v>
      </c>
      <c r="M48" s="11">
        <f t="shared" ca="1" si="6"/>
        <v>50</v>
      </c>
      <c r="N48" s="11">
        <v>1550</v>
      </c>
      <c r="O48" s="11">
        <v>0.19</v>
      </c>
      <c r="P48" t="s">
        <v>10</v>
      </c>
      <c r="Q48" s="12" t="s">
        <v>21</v>
      </c>
      <c r="R48" s="13" t="s">
        <v>22</v>
      </c>
      <c r="S48" s="14"/>
      <c r="V48" s="10"/>
    </row>
    <row r="49" spans="1:22" ht="14.25" x14ac:dyDescent="0.15">
      <c r="A49" s="9"/>
      <c r="B49" s="11" t="s">
        <v>65</v>
      </c>
      <c r="C49" s="11" t="s">
        <v>31</v>
      </c>
      <c r="D49" s="11">
        <v>640.6</v>
      </c>
      <c r="F49" s="11">
        <v>1</v>
      </c>
      <c r="G49" s="18" t="str">
        <f t="shared" si="0"/>
        <v>24</v>
      </c>
      <c r="H49" s="11" t="str">
        <f t="shared" ca="1" si="1"/>
        <v>2022/11/17</v>
      </c>
      <c r="I49" s="11">
        <f t="shared" ca="1" si="2"/>
        <v>2022</v>
      </c>
      <c r="J49" s="11">
        <f t="shared" ca="1" si="3"/>
        <v>11</v>
      </c>
      <c r="K49" s="11">
        <f t="shared" ca="1" si="4"/>
        <v>17</v>
      </c>
      <c r="L49" s="11">
        <f t="shared" ca="1" si="5"/>
        <v>7</v>
      </c>
      <c r="M49" s="11">
        <f t="shared" ca="1" si="6"/>
        <v>30</v>
      </c>
      <c r="N49" s="11">
        <v>1550</v>
      </c>
      <c r="O49" s="11">
        <v>0.19</v>
      </c>
      <c r="P49" t="s">
        <v>10</v>
      </c>
      <c r="Q49" s="12" t="s">
        <v>21</v>
      </c>
      <c r="R49" s="13" t="s">
        <v>22</v>
      </c>
      <c r="S49" s="14"/>
      <c r="V49" s="10"/>
    </row>
    <row r="50" spans="1:22" ht="14.25" x14ac:dyDescent="0.15">
      <c r="A50" s="9"/>
      <c r="P50"/>
      <c r="Q50" s="12"/>
      <c r="R50" s="13"/>
      <c r="S50" s="14"/>
      <c r="V50" s="10"/>
    </row>
    <row r="51" spans="1:22" ht="14.25" x14ac:dyDescent="0.15">
      <c r="A51" s="9"/>
      <c r="P51"/>
      <c r="Q51" s="12"/>
      <c r="R51" s="13"/>
      <c r="S51" s="14"/>
      <c r="V51" s="10"/>
    </row>
    <row r="52" spans="1:22" ht="14.25" x14ac:dyDescent="0.15">
      <c r="A52" s="9"/>
      <c r="P52"/>
      <c r="Q52" s="12"/>
      <c r="R52" s="13"/>
      <c r="S52" s="14"/>
      <c r="V52" s="10"/>
    </row>
    <row r="53" spans="1:22" ht="14.25" x14ac:dyDescent="0.15">
      <c r="A53" s="9"/>
      <c r="P53"/>
      <c r="Q53" s="12"/>
      <c r="R53" s="13"/>
      <c r="S53" s="14"/>
      <c r="V53" s="10"/>
    </row>
    <row r="54" spans="1:22" ht="14.25" x14ac:dyDescent="0.15">
      <c r="A54" s="9"/>
      <c r="P54"/>
      <c r="Q54" s="12"/>
      <c r="R54" s="13"/>
      <c r="S54" s="14"/>
      <c r="V54" s="10"/>
    </row>
    <row r="55" spans="1:22" ht="14.25" x14ac:dyDescent="0.15">
      <c r="A55" s="9"/>
      <c r="P55"/>
      <c r="Q55" s="12"/>
      <c r="R55" s="13"/>
      <c r="S55" s="14"/>
      <c r="V55" s="10"/>
    </row>
    <row r="56" spans="1:22" ht="14.25" x14ac:dyDescent="0.15">
      <c r="A56" s="9"/>
      <c r="P56"/>
      <c r="Q56" s="12"/>
      <c r="R56" s="13"/>
      <c r="S56" s="14"/>
      <c r="V56" s="10"/>
    </row>
    <row r="57" spans="1:22" ht="14.25" x14ac:dyDescent="0.15">
      <c r="A57" s="9"/>
      <c r="P57"/>
      <c r="Q57" s="12"/>
      <c r="R57" s="13"/>
      <c r="S57" s="14"/>
      <c r="V57" s="10"/>
    </row>
    <row r="58" spans="1:22" ht="14.25" x14ac:dyDescent="0.15">
      <c r="A58" s="9"/>
      <c r="P58"/>
      <c r="Q58" s="12"/>
      <c r="R58" s="13"/>
      <c r="S58" s="14"/>
      <c r="V58" s="10"/>
    </row>
    <row r="59" spans="1:22" ht="14.25" x14ac:dyDescent="0.15">
      <c r="A59" s="9"/>
      <c r="P59"/>
      <c r="Q59" s="12"/>
      <c r="R59" s="13"/>
      <c r="S59" s="14"/>
      <c r="V59" s="10"/>
    </row>
    <row r="60" spans="1:22" ht="14.25" x14ac:dyDescent="0.15">
      <c r="A60" s="9"/>
      <c r="P60"/>
      <c r="Q60" s="12"/>
      <c r="R60" s="13"/>
      <c r="S60" s="14"/>
      <c r="V60" s="10"/>
    </row>
    <row r="61" spans="1:22" ht="14.25" x14ac:dyDescent="0.15">
      <c r="A61" s="9"/>
      <c r="P61"/>
      <c r="Q61" s="12"/>
      <c r="R61" s="13"/>
      <c r="S61" s="14"/>
      <c r="V61" s="10"/>
    </row>
    <row r="62" spans="1:22" ht="14.25" x14ac:dyDescent="0.15">
      <c r="A62" s="9"/>
      <c r="P62"/>
      <c r="Q62" s="12"/>
      <c r="R62" s="13"/>
      <c r="S62" s="14"/>
      <c r="V62" s="10"/>
    </row>
    <row r="63" spans="1:22" ht="14.25" x14ac:dyDescent="0.15">
      <c r="A63" s="9"/>
      <c r="P63"/>
      <c r="Q63" s="12"/>
      <c r="R63" s="13"/>
      <c r="S63" s="14"/>
      <c r="V63" s="10"/>
    </row>
    <row r="64" spans="1:22" ht="14.25" x14ac:dyDescent="0.15">
      <c r="A64" s="9"/>
      <c r="P64"/>
      <c r="Q64" s="12"/>
      <c r="R64" s="13"/>
      <c r="S64" s="14"/>
      <c r="V64" s="10"/>
    </row>
    <row r="65" spans="1:22" ht="14.25" x14ac:dyDescent="0.15">
      <c r="A65" s="9"/>
      <c r="P65"/>
      <c r="Q65" s="12"/>
      <c r="R65" s="13"/>
      <c r="S65" s="14"/>
      <c r="V65" s="10"/>
    </row>
    <row r="66" spans="1:22" ht="14.25" x14ac:dyDescent="0.15">
      <c r="A66" s="9"/>
      <c r="P66"/>
      <c r="Q66" s="12"/>
      <c r="R66" s="13"/>
      <c r="S66" s="14"/>
      <c r="V66" s="10"/>
    </row>
    <row r="67" spans="1:22" ht="14.25" x14ac:dyDescent="0.15">
      <c r="A67" s="9"/>
      <c r="P67"/>
      <c r="Q67" s="12"/>
      <c r="R67" s="13"/>
      <c r="S67" s="14"/>
      <c r="V67" s="10"/>
    </row>
    <row r="68" spans="1:22" ht="14.25" x14ac:dyDescent="0.15">
      <c r="A68" s="9"/>
      <c r="P68"/>
      <c r="Q68" s="12"/>
      <c r="R68" s="13"/>
      <c r="S68" s="14"/>
      <c r="V68" s="10"/>
    </row>
    <row r="69" spans="1:22" ht="14.25" x14ac:dyDescent="0.15">
      <c r="A69" s="9"/>
      <c r="P69"/>
      <c r="Q69" s="12"/>
      <c r="R69" s="13"/>
      <c r="S69" s="14"/>
      <c r="U69" s="10"/>
      <c r="V69" s="10"/>
    </row>
    <row r="70" spans="1:22" ht="14.25" x14ac:dyDescent="0.15">
      <c r="A70" s="9"/>
      <c r="P70"/>
      <c r="Q70" s="12"/>
      <c r="R70" s="13"/>
      <c r="S70" s="14"/>
      <c r="U70" s="10"/>
      <c r="V70" s="10"/>
    </row>
    <row r="71" spans="1:22" ht="14.25" x14ac:dyDescent="0.15">
      <c r="A71" s="9"/>
      <c r="P71"/>
      <c r="Q71" s="12"/>
      <c r="R71" s="13"/>
      <c r="S71" s="14"/>
      <c r="U71" s="10"/>
      <c r="V71" s="10"/>
    </row>
    <row r="72" spans="1:22" ht="14.25" x14ac:dyDescent="0.15">
      <c r="A72" s="9"/>
      <c r="P72"/>
      <c r="Q72" s="12"/>
      <c r="R72" s="13"/>
      <c r="S72" s="14"/>
      <c r="U72" s="10"/>
      <c r="V72" s="10"/>
    </row>
    <row r="73" spans="1:22" ht="14.25" x14ac:dyDescent="0.15">
      <c r="A73" s="9"/>
      <c r="P73"/>
      <c r="Q73" s="12"/>
      <c r="R73" s="13"/>
      <c r="S73" s="14"/>
      <c r="U73" s="10"/>
      <c r="V73" s="10"/>
    </row>
    <row r="74" spans="1:22" ht="14.25" x14ac:dyDescent="0.15">
      <c r="A74" s="9"/>
      <c r="P74"/>
      <c r="Q74" s="12"/>
      <c r="R74" s="13"/>
      <c r="S74" s="14"/>
      <c r="U74" s="10"/>
      <c r="V74" s="10"/>
    </row>
    <row r="75" spans="1:22" ht="14.25" x14ac:dyDescent="0.15">
      <c r="A75" s="9"/>
      <c r="P75"/>
      <c r="Q75" s="12"/>
      <c r="R75" s="13"/>
      <c r="S75" s="14"/>
      <c r="U75" s="10"/>
      <c r="V75" s="10"/>
    </row>
    <row r="76" spans="1:22" ht="14.25" x14ac:dyDescent="0.15">
      <c r="A76" s="9"/>
      <c r="P76"/>
      <c r="Q76" s="12"/>
      <c r="R76" s="13"/>
      <c r="S76" s="14"/>
      <c r="U76" s="10"/>
      <c r="V76" s="10"/>
    </row>
    <row r="77" spans="1:22" ht="14.25" x14ac:dyDescent="0.15">
      <c r="A77" s="9"/>
      <c r="P77"/>
      <c r="Q77" s="12"/>
      <c r="R77" s="13"/>
      <c r="S77" s="14"/>
      <c r="U77" s="10"/>
      <c r="V77" s="10"/>
    </row>
    <row r="78" spans="1:22" ht="14.25" x14ac:dyDescent="0.15">
      <c r="A78" s="9"/>
      <c r="P78"/>
      <c r="Q78" s="12"/>
      <c r="R78" s="13"/>
      <c r="S78" s="14"/>
      <c r="U78" s="10"/>
      <c r="V78" s="10"/>
    </row>
    <row r="79" spans="1:22" ht="14.25" x14ac:dyDescent="0.15">
      <c r="A79" s="9"/>
      <c r="P79"/>
      <c r="Q79" s="12"/>
      <c r="R79" s="13"/>
      <c r="S79" s="14"/>
      <c r="U79" s="10"/>
      <c r="V79" s="10"/>
    </row>
    <row r="80" spans="1:22" ht="14.25" x14ac:dyDescent="0.15">
      <c r="A80" s="9"/>
      <c r="P80"/>
      <c r="Q80" s="12"/>
      <c r="R80" s="13"/>
      <c r="S80" s="14"/>
      <c r="U80" s="10"/>
      <c r="V80" s="10"/>
    </row>
    <row r="81" spans="1:22" ht="14.25" x14ac:dyDescent="0.15">
      <c r="A81" s="9"/>
      <c r="P81"/>
      <c r="Q81" s="12"/>
      <c r="R81" s="13"/>
      <c r="S81" s="14"/>
      <c r="U81" s="10"/>
      <c r="V81" s="10"/>
    </row>
    <row r="82" spans="1:22" ht="14.25" x14ac:dyDescent="0.15">
      <c r="A82" s="9"/>
      <c r="P82"/>
      <c r="Q82" s="12"/>
      <c r="R82" s="13"/>
      <c r="S82" s="14"/>
      <c r="U82" s="10"/>
      <c r="V82" s="10"/>
    </row>
    <row r="83" spans="1:22" ht="14.25" x14ac:dyDescent="0.15">
      <c r="A83" s="9"/>
      <c r="P83"/>
      <c r="Q83" s="12"/>
      <c r="R83" s="13"/>
      <c r="S83" s="14"/>
      <c r="U83" s="10"/>
      <c r="V83" s="10"/>
    </row>
    <row r="84" spans="1:22" ht="14.25" x14ac:dyDescent="0.15">
      <c r="A84" s="9"/>
      <c r="P84"/>
      <c r="Q84" s="12"/>
      <c r="R84" s="13"/>
      <c r="S84" s="14"/>
      <c r="U84" s="10"/>
      <c r="V84" s="10"/>
    </row>
    <row r="85" spans="1:22" ht="14.25" x14ac:dyDescent="0.15">
      <c r="A85" s="9"/>
      <c r="P85"/>
      <c r="Q85" s="12"/>
      <c r="R85" s="13"/>
      <c r="S85" s="14"/>
      <c r="U85" s="10"/>
      <c r="V85" s="10"/>
    </row>
    <row r="86" spans="1:22" ht="14.25" x14ac:dyDescent="0.15">
      <c r="A86" s="9"/>
      <c r="P86"/>
      <c r="Q86" s="12"/>
      <c r="R86" s="13"/>
      <c r="S86" s="14"/>
      <c r="U86" s="10"/>
      <c r="V86" s="10"/>
    </row>
    <row r="87" spans="1:22" ht="14.25" x14ac:dyDescent="0.15">
      <c r="A87" s="9"/>
      <c r="P87"/>
      <c r="Q87" s="12"/>
      <c r="R87" s="13"/>
      <c r="S87" s="14"/>
      <c r="U87" s="10"/>
      <c r="V87" s="10"/>
    </row>
    <row r="88" spans="1:22" ht="14.25" x14ac:dyDescent="0.15">
      <c r="A88" s="9"/>
      <c r="P88"/>
      <c r="Q88" s="12"/>
      <c r="R88" s="13"/>
      <c r="S88" s="14"/>
      <c r="U88" s="10"/>
      <c r="V88" s="10"/>
    </row>
    <row r="89" spans="1:22" ht="14.25" x14ac:dyDescent="0.15">
      <c r="A89" s="9"/>
      <c r="P89"/>
      <c r="Q89" s="12"/>
      <c r="R89" s="13"/>
      <c r="S89" s="14"/>
      <c r="U89" s="10"/>
      <c r="V89" s="10"/>
    </row>
    <row r="90" spans="1:22" ht="14.25" x14ac:dyDescent="0.15">
      <c r="A90" s="9"/>
      <c r="P90"/>
      <c r="Q90" s="12"/>
      <c r="R90" s="13"/>
      <c r="S90" s="14"/>
      <c r="U90" s="10"/>
      <c r="V90" s="10"/>
    </row>
    <row r="91" spans="1:22" ht="14.25" x14ac:dyDescent="0.15">
      <c r="A91" s="9"/>
      <c r="P91"/>
      <c r="Q91" s="12"/>
      <c r="R91" s="13"/>
      <c r="S91" s="14"/>
      <c r="U91" s="10"/>
      <c r="V91" s="10"/>
    </row>
    <row r="92" spans="1:22" ht="14.25" x14ac:dyDescent="0.15">
      <c r="A92" s="9"/>
      <c r="P92"/>
      <c r="Q92" s="12"/>
      <c r="R92" s="13"/>
      <c r="S92" s="14"/>
      <c r="U92" s="10"/>
      <c r="V92" s="10"/>
    </row>
    <row r="93" spans="1:22" ht="14.25" x14ac:dyDescent="0.15">
      <c r="A93" s="9"/>
      <c r="P93"/>
      <c r="Q93" s="12"/>
      <c r="R93" s="13"/>
      <c r="S93" s="14"/>
      <c r="U93" s="10"/>
      <c r="V93" s="10"/>
    </row>
    <row r="94" spans="1:22" ht="14.25" x14ac:dyDescent="0.15">
      <c r="A94" s="9"/>
      <c r="P94"/>
      <c r="Q94" s="12"/>
      <c r="R94" s="13"/>
      <c r="S94" s="14"/>
      <c r="V94" s="10"/>
    </row>
    <row r="95" spans="1:22" ht="14.25" x14ac:dyDescent="0.15">
      <c r="A95" s="9"/>
      <c r="P95"/>
      <c r="Q95" s="12"/>
      <c r="R95" s="13"/>
      <c r="S95" s="14"/>
      <c r="V95" s="10"/>
    </row>
    <row r="96" spans="1:22" ht="14.25" x14ac:dyDescent="0.15">
      <c r="A96" s="9"/>
      <c r="P96"/>
      <c r="Q96" s="12"/>
      <c r="R96" s="13"/>
      <c r="S96" s="14"/>
      <c r="V96" s="10"/>
    </row>
    <row r="97" spans="1:25" ht="14.25" x14ac:dyDescent="0.15">
      <c r="A97" s="9"/>
      <c r="P97"/>
      <c r="Q97" s="12"/>
      <c r="R97" s="13"/>
      <c r="S97" s="14"/>
      <c r="V97" s="10"/>
    </row>
    <row r="98" spans="1:25" ht="14.25" x14ac:dyDescent="0.15">
      <c r="A98" s="9"/>
      <c r="P98"/>
      <c r="Q98" s="12"/>
      <c r="R98" s="13"/>
      <c r="S98" s="14"/>
      <c r="V98" s="10"/>
    </row>
    <row r="99" spans="1:25" ht="14.25" x14ac:dyDescent="0.15">
      <c r="A99" s="9"/>
      <c r="P99"/>
      <c r="Q99" s="12"/>
      <c r="R99" s="13"/>
      <c r="S99" s="14"/>
      <c r="V99" s="10"/>
    </row>
    <row r="100" spans="1:25" ht="14.25" x14ac:dyDescent="0.15">
      <c r="A100" s="9"/>
      <c r="P100"/>
      <c r="Q100" s="12"/>
      <c r="R100" s="13"/>
      <c r="S100" s="14"/>
      <c r="V100" s="10"/>
    </row>
    <row r="101" spans="1:25" ht="14.25" x14ac:dyDescent="0.15">
      <c r="A101" s="9"/>
      <c r="P101"/>
      <c r="Q101" s="12"/>
      <c r="R101" s="13"/>
      <c r="S101" s="14"/>
      <c r="V101" s="10"/>
    </row>
    <row r="102" spans="1:25" ht="14.25" x14ac:dyDescent="0.15">
      <c r="A102" s="9"/>
      <c r="P102"/>
      <c r="Q102" s="12"/>
      <c r="R102" s="13"/>
      <c r="S102" s="14"/>
      <c r="V102" s="10"/>
    </row>
    <row r="103" spans="1:25" ht="14.25" x14ac:dyDescent="0.15">
      <c r="A103" s="9"/>
      <c r="P103"/>
      <c r="Q103" s="12"/>
      <c r="R103" s="13"/>
      <c r="S103" s="14"/>
      <c r="V103" s="10"/>
    </row>
    <row r="104" spans="1:25" ht="14.25" x14ac:dyDescent="0.15">
      <c r="A104" s="9"/>
      <c r="P104"/>
      <c r="Q104" s="12"/>
      <c r="R104" s="13"/>
      <c r="S104" s="14"/>
      <c r="V104" s="10"/>
    </row>
    <row r="105" spans="1:25" ht="14.25" x14ac:dyDescent="0.15">
      <c r="A105" s="9"/>
      <c r="P105"/>
      <c r="Q105" s="12"/>
      <c r="R105" s="13"/>
      <c r="S105" s="14"/>
      <c r="V105" s="10"/>
    </row>
    <row r="106" spans="1:25" ht="14.25" x14ac:dyDescent="0.15">
      <c r="A106" s="9"/>
      <c r="P106"/>
      <c r="Q106" s="12"/>
      <c r="R106" s="13"/>
      <c r="S106" s="14"/>
      <c r="V106" s="10"/>
    </row>
    <row r="107" spans="1:25" ht="14.25" x14ac:dyDescent="0.15">
      <c r="A107" s="9"/>
      <c r="P107"/>
      <c r="Q107" s="12"/>
      <c r="R107" s="13"/>
      <c r="S107" s="14"/>
      <c r="V107" s="10"/>
    </row>
    <row r="108" spans="1:25" ht="14.25" x14ac:dyDescent="0.15">
      <c r="A108" s="9"/>
      <c r="P108"/>
      <c r="Q108" s="12"/>
      <c r="R108" s="13"/>
      <c r="S108" s="14"/>
      <c r="V108" s="10"/>
    </row>
    <row r="109" spans="1:25" ht="14.25" x14ac:dyDescent="0.15">
      <c r="A109" s="9"/>
      <c r="P109"/>
      <c r="Q109" s="12"/>
      <c r="R109" s="13"/>
      <c r="S109" s="14"/>
    </row>
    <row r="110" spans="1:25" ht="14.25" x14ac:dyDescent="0.15">
      <c r="A110" s="9"/>
      <c r="P110"/>
      <c r="Q110" s="12"/>
      <c r="R110" s="13"/>
      <c r="S110" s="14"/>
      <c r="Y110" s="10"/>
    </row>
    <row r="111" spans="1:25" ht="14.25" x14ac:dyDescent="0.15">
      <c r="A111" s="9"/>
      <c r="P111"/>
      <c r="Q111" s="12"/>
      <c r="R111" s="13"/>
      <c r="S111" s="14"/>
      <c r="Y111" s="10"/>
    </row>
    <row r="112" spans="1:25" ht="14.25" x14ac:dyDescent="0.15">
      <c r="A112" s="9"/>
      <c r="P112"/>
      <c r="Q112" s="12"/>
      <c r="R112" s="13"/>
      <c r="S112" s="14"/>
      <c r="Y112" s="10"/>
    </row>
    <row r="113" spans="1:19" ht="14.25" x14ac:dyDescent="0.15">
      <c r="A113" s="9"/>
      <c r="P113"/>
      <c r="Q113" s="12"/>
      <c r="R113" s="13"/>
      <c r="S113" s="14"/>
    </row>
    <row r="114" spans="1:19" ht="14.25" x14ac:dyDescent="0.15">
      <c r="A114" s="9"/>
      <c r="P114"/>
      <c r="Q114" s="12"/>
      <c r="R114" s="13"/>
      <c r="S114" s="14"/>
    </row>
    <row r="115" spans="1:19" ht="14.25" x14ac:dyDescent="0.15">
      <c r="A115" s="9"/>
      <c r="P115"/>
      <c r="Q115" s="12"/>
      <c r="R115" s="13"/>
      <c r="S115" s="14"/>
    </row>
    <row r="116" spans="1:19" ht="14.25" x14ac:dyDescent="0.15">
      <c r="A116" s="9"/>
      <c r="P116"/>
      <c r="Q116" s="12"/>
      <c r="R116" s="13"/>
      <c r="S116" s="14"/>
    </row>
    <row r="117" spans="1:19" ht="14.25" x14ac:dyDescent="0.15">
      <c r="A117" s="9"/>
      <c r="P117"/>
      <c r="Q117" s="12"/>
      <c r="R117" s="13"/>
      <c r="S117" s="14"/>
    </row>
    <row r="118" spans="1:19" ht="14.25" x14ac:dyDescent="0.15">
      <c r="A118" s="9"/>
      <c r="P118"/>
      <c r="Q118" s="12"/>
      <c r="R118" s="13"/>
      <c r="S118" s="14"/>
    </row>
    <row r="119" spans="1:19" ht="14.25" x14ac:dyDescent="0.15">
      <c r="A119" s="9"/>
      <c r="P119"/>
      <c r="Q119" s="12"/>
      <c r="R119" s="13"/>
      <c r="S119" s="14"/>
    </row>
    <row r="120" spans="1:19" ht="14.25" x14ac:dyDescent="0.15">
      <c r="A120" s="9"/>
      <c r="P120"/>
      <c r="Q120" s="12"/>
      <c r="R120" s="13"/>
      <c r="S120" s="14"/>
    </row>
    <row r="121" spans="1:19" ht="14.25" x14ac:dyDescent="0.15">
      <c r="A121" s="9"/>
      <c r="P121"/>
      <c r="Q121" s="12"/>
      <c r="R121" s="13"/>
      <c r="S121" s="14"/>
    </row>
    <row r="122" spans="1:19" ht="14.25" x14ac:dyDescent="0.15">
      <c r="A122" s="9"/>
      <c r="P122"/>
      <c r="Q122" s="12"/>
      <c r="R122" s="13"/>
      <c r="S122" s="14"/>
    </row>
    <row r="123" spans="1:19" ht="14.25" x14ac:dyDescent="0.15">
      <c r="A123" s="9"/>
      <c r="P123"/>
      <c r="Q123" s="12"/>
      <c r="R123" s="13"/>
      <c r="S123" s="14"/>
    </row>
    <row r="124" spans="1:19" ht="14.25" x14ac:dyDescent="0.15">
      <c r="A124" s="9"/>
      <c r="P124"/>
      <c r="Q124" s="12"/>
      <c r="R124" s="13"/>
      <c r="S124" s="14"/>
    </row>
    <row r="125" spans="1:19" ht="14.25" x14ac:dyDescent="0.15">
      <c r="A125" s="9"/>
      <c r="P125"/>
      <c r="Q125" s="12"/>
      <c r="R125" s="13"/>
      <c r="S125" s="14"/>
    </row>
    <row r="126" spans="1:19" ht="14.25" x14ac:dyDescent="0.15">
      <c r="A126" s="9"/>
      <c r="P126"/>
      <c r="Q126" s="12"/>
      <c r="R126" s="13"/>
      <c r="S126" s="14"/>
    </row>
    <row r="127" spans="1:19" ht="14.25" x14ac:dyDescent="0.15">
      <c r="A127" s="9"/>
      <c r="P127"/>
      <c r="Q127" s="12"/>
      <c r="R127" s="13"/>
      <c r="S127" s="14"/>
    </row>
    <row r="128" spans="1:19" ht="14.25" x14ac:dyDescent="0.15">
      <c r="A128" s="9"/>
      <c r="P128"/>
      <c r="Q128" s="12"/>
      <c r="R128" s="13"/>
      <c r="S128" s="14"/>
    </row>
    <row r="129" spans="1:19" ht="14.25" x14ac:dyDescent="0.15">
      <c r="A129" s="9"/>
      <c r="P129"/>
      <c r="Q129" s="12"/>
      <c r="R129" s="13"/>
      <c r="S129" s="14"/>
    </row>
    <row r="130" spans="1:19" ht="14.25" x14ac:dyDescent="0.15">
      <c r="A130" s="9"/>
      <c r="Q130" s="12"/>
      <c r="R130" s="13"/>
      <c r="S130" s="14"/>
    </row>
    <row r="131" spans="1:19" ht="14.25" x14ac:dyDescent="0.15">
      <c r="A131" s="9"/>
      <c r="Q131" s="12"/>
      <c r="R131" s="13"/>
      <c r="S131" s="14"/>
    </row>
    <row r="132" spans="1:19" ht="14.25" x14ac:dyDescent="0.15">
      <c r="A132" s="9"/>
      <c r="Q132" s="12"/>
      <c r="R132" s="13"/>
      <c r="S132" s="14"/>
    </row>
    <row r="133" spans="1:19" ht="14.25" x14ac:dyDescent="0.15">
      <c r="A133" s="9"/>
      <c r="Q133" s="12"/>
      <c r="R133" s="13"/>
      <c r="S133" s="14"/>
    </row>
    <row r="134" spans="1:19" ht="14.25" x14ac:dyDescent="0.15">
      <c r="A134" s="9"/>
      <c r="Q134" s="12"/>
      <c r="R134" s="13"/>
      <c r="S134" s="14"/>
    </row>
    <row r="135" spans="1:19" ht="14.25" x14ac:dyDescent="0.15">
      <c r="A135" s="9"/>
      <c r="Q135" s="12"/>
      <c r="R135" s="13"/>
      <c r="S135" s="14"/>
    </row>
    <row r="136" spans="1:19" ht="14.25" x14ac:dyDescent="0.15">
      <c r="A136" s="9"/>
      <c r="Q136" s="12"/>
      <c r="R136" s="13"/>
      <c r="S136" s="14"/>
    </row>
    <row r="137" spans="1:19" ht="14.25" x14ac:dyDescent="0.15">
      <c r="A137" s="9"/>
      <c r="Q137" s="12"/>
      <c r="R137" s="13"/>
      <c r="S137" s="14"/>
    </row>
    <row r="138" spans="1:19" ht="14.25" x14ac:dyDescent="0.15">
      <c r="A138" s="9"/>
      <c r="Q138" s="12"/>
      <c r="R138" s="13"/>
      <c r="S138" s="14"/>
    </row>
    <row r="139" spans="1:19" ht="14.25" x14ac:dyDescent="0.15">
      <c r="A139" s="9"/>
      <c r="Q139" s="15"/>
      <c r="R139" s="13"/>
      <c r="S139" s="14"/>
    </row>
    <row r="140" spans="1:19" ht="14.25" x14ac:dyDescent="0.15">
      <c r="A140" s="9"/>
      <c r="Q140" s="12"/>
      <c r="R140" s="13"/>
      <c r="S140" s="14"/>
    </row>
    <row r="141" spans="1:19" ht="14.25" x14ac:dyDescent="0.15">
      <c r="A141" s="9"/>
      <c r="Q141" s="15"/>
      <c r="R141" s="13"/>
      <c r="S141" s="14"/>
    </row>
    <row r="142" spans="1:19" ht="14.25" x14ac:dyDescent="0.15">
      <c r="A142" s="9"/>
      <c r="Q142" s="12"/>
      <c r="R142" s="13"/>
      <c r="S142" s="14"/>
    </row>
    <row r="143" spans="1:19" ht="14.25" x14ac:dyDescent="0.15">
      <c r="A143" s="9"/>
      <c r="Q143" s="15"/>
      <c r="R143" s="13"/>
      <c r="S143" s="14"/>
    </row>
    <row r="144" spans="1:19" ht="14.25" x14ac:dyDescent="0.15">
      <c r="A144" s="9"/>
      <c r="Q144" s="12"/>
      <c r="R144" s="13"/>
      <c r="S144" s="14"/>
    </row>
  </sheetData>
  <autoFilter ref="A1:S129" xr:uid="{1D89A09D-2922-427C-8AFE-14BA94B64925}"/>
  <phoneticPr fontId="6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批量打印</vt:lpstr>
      <vt:lpstr>数据</vt:lpstr>
    </vt:vector>
  </TitlesOfParts>
  <Company>英明电脑工作室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李树明</dc:creator>
  <cp:lastModifiedBy>金国伟</cp:lastModifiedBy>
  <dcterms:created xsi:type="dcterms:W3CDTF">2017-09-28T02:16:31Z</dcterms:created>
  <dcterms:modified xsi:type="dcterms:W3CDTF">2025-09-25T08:23:34Z</dcterms:modified>
</cp:coreProperties>
</file>